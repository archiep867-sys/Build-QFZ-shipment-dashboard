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193\AppData\Local\Microsoft\Windows\INetCache\Content.Outlook\MP84203F\"/>
    </mc:Choice>
  </mc:AlternateContent>
  <xr:revisionPtr revIDLastSave="0" documentId="8_{F34E8177-5E30-49F5-B1E2-0A2BCCFE7CC0}" xr6:coauthVersionLast="47" xr6:coauthVersionMax="47" xr10:uidLastSave="{00000000-0000-0000-0000-000000000000}"/>
  <bookViews>
    <workbookView xWindow="-120" yWindow="-120" windowWidth="24240" windowHeight="13020" xr2:uid="{30F64A5D-0036-46EA-936B-F3C592AA17DF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Sheet1!$A$1:$AA$149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T122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0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AA142" i="1"/>
  <c r="AA143" i="1"/>
  <c r="AA144" i="1"/>
  <c r="AA145" i="1"/>
  <c r="AA146" i="1"/>
  <c r="AA147" i="1"/>
  <c r="AA129" i="1"/>
  <c r="AA130" i="1"/>
  <c r="AA131" i="1"/>
  <c r="AA132" i="1"/>
  <c r="AA133" i="1"/>
  <c r="AA134" i="1"/>
  <c r="AA135" i="1"/>
  <c r="AA136" i="1"/>
  <c r="AA137" i="1"/>
  <c r="AA138" i="1"/>
  <c r="AA125" i="1"/>
  <c r="AA126" i="1"/>
  <c r="AA127" i="1"/>
  <c r="AA128" i="1"/>
  <c r="G40" i="1"/>
  <c r="K30" i="1"/>
  <c r="P30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4" i="1"/>
  <c r="T5" i="1"/>
  <c r="T6" i="1"/>
  <c r="T7" i="1"/>
  <c r="T8" i="1"/>
  <c r="T9" i="1"/>
  <c r="T10" i="1"/>
  <c r="T11" i="1"/>
  <c r="T12" i="1"/>
  <c r="T13" i="1"/>
  <c r="T14" i="1"/>
  <c r="T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3" i="1"/>
  <c r="L30" i="1"/>
  <c r="L4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1" i="1"/>
  <c r="L32" i="1"/>
  <c r="L33" i="1"/>
  <c r="L34" i="1"/>
  <c r="L35" i="1"/>
  <c r="L36" i="1"/>
  <c r="L37" i="1"/>
  <c r="L38" i="1"/>
  <c r="L39" i="1"/>
  <c r="L40" i="1"/>
  <c r="L41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3" i="1"/>
  <c r="D3" i="1"/>
  <c r="D4" i="1"/>
  <c r="D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7" i="1"/>
  <c r="D6" i="1"/>
  <c r="S113" i="1"/>
  <c r="S114" i="1"/>
  <c r="S115" i="1"/>
  <c r="S116" i="1"/>
  <c r="S117" i="1"/>
  <c r="S118" i="1"/>
  <c r="S119" i="1"/>
  <c r="S120" i="1"/>
  <c r="S121" i="1"/>
  <c r="S122" i="1"/>
  <c r="K114" i="1"/>
  <c r="K115" i="1"/>
  <c r="K116" i="1"/>
  <c r="K117" i="1"/>
  <c r="K118" i="1"/>
  <c r="K119" i="1"/>
  <c r="K120" i="1"/>
  <c r="K121" i="1"/>
  <c r="K122" i="1"/>
  <c r="K123" i="1"/>
  <c r="K124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3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3" i="1"/>
</calcChain>
</file>

<file path=xl/sharedStrings.xml><?xml version="1.0" encoding="utf-8"?>
<sst xmlns="http://schemas.openxmlformats.org/spreadsheetml/2006/main" count="611" uniqueCount="249">
  <si>
    <t>SL NO</t>
  </si>
  <si>
    <t>PACKING LIST</t>
  </si>
  <si>
    <t>BRAND</t>
  </si>
  <si>
    <t>QFZ REF</t>
  </si>
  <si>
    <t>DATE</t>
  </si>
  <si>
    <t>TIME</t>
  </si>
  <si>
    <t>DAY</t>
  </si>
  <si>
    <t xml:space="preserve">APPLY FOR ATTESTAION </t>
  </si>
  <si>
    <t>BAYAN RECEIVED</t>
  </si>
  <si>
    <t>DISPTACHED DATE</t>
  </si>
  <si>
    <t xml:space="preserve">QD4452 </t>
  </si>
  <si>
    <t>APP30384</t>
  </si>
  <si>
    <t>APP30436</t>
  </si>
  <si>
    <t>QFZ1174</t>
  </si>
  <si>
    <t>QFZ1176</t>
  </si>
  <si>
    <t>QFZ1177</t>
  </si>
  <si>
    <t>QFZ1178</t>
  </si>
  <si>
    <t>QFZ1179</t>
  </si>
  <si>
    <t>QFZ1180</t>
  </si>
  <si>
    <t>QFZ1181</t>
  </si>
  <si>
    <t>QFZ1182</t>
  </si>
  <si>
    <t>QFZ1183</t>
  </si>
  <si>
    <t>QFZ1184</t>
  </si>
  <si>
    <t>QFZ1185</t>
  </si>
  <si>
    <t>QFZ1186</t>
  </si>
  <si>
    <t>QFZ1188</t>
  </si>
  <si>
    <t>QFZ1190</t>
  </si>
  <si>
    <t>QFZ1191</t>
  </si>
  <si>
    <t>QFZ1192</t>
  </si>
  <si>
    <t>QFZ1193</t>
  </si>
  <si>
    <t>QFZ1194</t>
  </si>
  <si>
    <t>QFZ1195</t>
  </si>
  <si>
    <t>QFZ1196</t>
  </si>
  <si>
    <t>QFZ1197</t>
  </si>
  <si>
    <t>QFZ1198</t>
  </si>
  <si>
    <t>QFZ1200</t>
  </si>
  <si>
    <t>QFZ1201</t>
  </si>
  <si>
    <t>QFZ1202</t>
  </si>
  <si>
    <t>QFZ1203</t>
  </si>
  <si>
    <t>QFZ1204</t>
  </si>
  <si>
    <t>QFZ1205</t>
  </si>
  <si>
    <t>QFZ1206</t>
  </si>
  <si>
    <t>QFZ1207</t>
  </si>
  <si>
    <t>QFZ1210</t>
  </si>
  <si>
    <t>QFZ1211</t>
  </si>
  <si>
    <t>QFZ1074</t>
  </si>
  <si>
    <t>QFZ1088</t>
  </si>
  <si>
    <t>QFZ1089</t>
  </si>
  <si>
    <t>QFZ1090</t>
  </si>
  <si>
    <t>QFZ1091</t>
  </si>
  <si>
    <t>QFZ1092</t>
  </si>
  <si>
    <t>QFZ1093</t>
  </si>
  <si>
    <t>QFZ1094</t>
  </si>
  <si>
    <t>QFZ1095</t>
  </si>
  <si>
    <t>QFZ1096</t>
  </si>
  <si>
    <t>QFZ1097</t>
  </si>
  <si>
    <t>QFZ1098</t>
  </si>
  <si>
    <t>QFZ1099</t>
  </si>
  <si>
    <t>QFZ1100</t>
  </si>
  <si>
    <t>QFZ1101</t>
  </si>
  <si>
    <t>QFZ1102</t>
  </si>
  <si>
    <t>QFZ1103</t>
  </si>
  <si>
    <t>QFZ1104</t>
  </si>
  <si>
    <t>QFZ1105</t>
  </si>
  <si>
    <t>QFZ1106</t>
  </si>
  <si>
    <t>QFZ1107</t>
  </si>
  <si>
    <t>QFZ1108</t>
  </si>
  <si>
    <t>QFZ1109</t>
  </si>
  <si>
    <t>QFZ1110</t>
  </si>
  <si>
    <t>QFZ1111</t>
  </si>
  <si>
    <t>QFZ1112</t>
  </si>
  <si>
    <t>QFZ1113</t>
  </si>
  <si>
    <t>QFZ1114</t>
  </si>
  <si>
    <t>QFZ1115</t>
  </si>
  <si>
    <t>QFZ1116</t>
  </si>
  <si>
    <t>QFZ1117</t>
  </si>
  <si>
    <t>QFZ1118</t>
  </si>
  <si>
    <t>QFZ1119</t>
  </si>
  <si>
    <t>QFZ1120</t>
  </si>
  <si>
    <t>QFZ1121</t>
  </si>
  <si>
    <t>QFZ1122</t>
  </si>
  <si>
    <t>QFZ1123</t>
  </si>
  <si>
    <t>QFZ1125</t>
  </si>
  <si>
    <t>QFZ1126</t>
  </si>
  <si>
    <t>QFZ1127</t>
  </si>
  <si>
    <t>QFZ1128</t>
  </si>
  <si>
    <t>QFZ1129</t>
  </si>
  <si>
    <t>QFZ1130</t>
  </si>
  <si>
    <t>QFZ1131</t>
  </si>
  <si>
    <t>QFZ1132</t>
  </si>
  <si>
    <t>QFZ1133</t>
  </si>
  <si>
    <t>QFZ1134</t>
  </si>
  <si>
    <t>QFZ1135</t>
  </si>
  <si>
    <t>QFZ1136</t>
  </si>
  <si>
    <t>QFZ1137</t>
  </si>
  <si>
    <t>QFZ1138</t>
  </si>
  <si>
    <t>QFZ1139</t>
  </si>
  <si>
    <t>QFZ1140</t>
  </si>
  <si>
    <t>QFZ1141</t>
  </si>
  <si>
    <t>QFZ1142</t>
  </si>
  <si>
    <t>QFZ1143</t>
  </si>
  <si>
    <t>QFZ1144</t>
  </si>
  <si>
    <t>QFZ1145</t>
  </si>
  <si>
    <t>QFZ1146</t>
  </si>
  <si>
    <t>QFZ1147</t>
  </si>
  <si>
    <t>QFZ1148</t>
  </si>
  <si>
    <t>QFZ1149</t>
  </si>
  <si>
    <t>QFZ1150</t>
  </si>
  <si>
    <t>QFZ1151</t>
  </si>
  <si>
    <t>QFZ1152</t>
  </si>
  <si>
    <t>QFZ1153</t>
  </si>
  <si>
    <t>QFZ1154</t>
  </si>
  <si>
    <t>QFZ1155</t>
  </si>
  <si>
    <t>QFZ1156</t>
  </si>
  <si>
    <t>QFZ1157</t>
  </si>
  <si>
    <t>QFZ1158</t>
  </si>
  <si>
    <t>QFZ1159</t>
  </si>
  <si>
    <t>QFZ1160</t>
  </si>
  <si>
    <t>QFZ1161</t>
  </si>
  <si>
    <t>QFZ1162</t>
  </si>
  <si>
    <t>QFZ1163</t>
  </si>
  <si>
    <t>QFZ1164</t>
  </si>
  <si>
    <t>QFZ1165</t>
  </si>
  <si>
    <t>QFZ1166</t>
  </si>
  <si>
    <t>QFZ1167</t>
  </si>
  <si>
    <t>QFZ1168</t>
  </si>
  <si>
    <t>QFZ1169</t>
  </si>
  <si>
    <t>QFZ1170</t>
  </si>
  <si>
    <t>QFZ1171</t>
  </si>
  <si>
    <t>QFZ1172</t>
  </si>
  <si>
    <t>QFZ1173</t>
  </si>
  <si>
    <t>METROLOGY SHIPMENT</t>
  </si>
  <si>
    <t>METROLLOGY DOCUMENTS RECEIVED FROM BRAND</t>
  </si>
  <si>
    <t>04-AUG-26 / 11 : 17 AM</t>
  </si>
  <si>
    <t>02/08/2026/ 1:11 PM</t>
  </si>
  <si>
    <t>04/08/2026 - 2:46 PM</t>
  </si>
  <si>
    <t>05/08/2026 - 10:19 AM</t>
  </si>
  <si>
    <t>07/08/2026 - 1:45:00 PM</t>
  </si>
  <si>
    <t>IT ISSUE SOLVED ON 12/08/26 - 9:07 PM</t>
  </si>
  <si>
    <t>IT ISSUE SOLVED ON 12/08/26 - 3:58 PM</t>
  </si>
  <si>
    <t>10/08/2026 - 8:44 AM</t>
  </si>
  <si>
    <t>10/08/2026 - 1:12 PM</t>
  </si>
  <si>
    <t>Sunday</t>
  </si>
  <si>
    <t>QFZ1212</t>
  </si>
  <si>
    <t>QFZ1213</t>
  </si>
  <si>
    <t>QFZ1214</t>
  </si>
  <si>
    <t>QFZ1215</t>
  </si>
  <si>
    <t>PL &amp; Attestation</t>
  </si>
  <si>
    <t>Days &amp; hrs</t>
  </si>
  <si>
    <t>Days &amp; Hrs</t>
  </si>
  <si>
    <t>Attestaion &amp; Bayan</t>
  </si>
  <si>
    <t>Payment Confirmation Days &amp; Hrs</t>
  </si>
  <si>
    <t>PL RECEIVED FROM WH</t>
  </si>
  <si>
    <t>PAYMENT CONFIRMATION FROM WH</t>
  </si>
  <si>
    <t>QFZ1216</t>
  </si>
  <si>
    <t>QFZ1217</t>
  </si>
  <si>
    <t>QFZ1218</t>
  </si>
  <si>
    <t>QFZ1219</t>
  </si>
  <si>
    <t>MIX (AFTERNOON)</t>
  </si>
  <si>
    <t>MIX(MORNING)</t>
  </si>
  <si>
    <t>R&amp;B</t>
  </si>
  <si>
    <t>BNM</t>
  </si>
  <si>
    <t>8:15AM</t>
  </si>
  <si>
    <t>Monday</t>
  </si>
  <si>
    <t>8:20AM</t>
  </si>
  <si>
    <t>8:25AM</t>
  </si>
  <si>
    <t>8:30AM</t>
  </si>
  <si>
    <t>8:50AM</t>
  </si>
  <si>
    <t>9:15AM</t>
  </si>
  <si>
    <t>10:15AM</t>
  </si>
  <si>
    <t>11:20AM</t>
  </si>
  <si>
    <t>10:00AM</t>
  </si>
  <si>
    <t>11:15AM</t>
  </si>
  <si>
    <t>12:30PM</t>
  </si>
  <si>
    <t>6:00PM</t>
  </si>
  <si>
    <t>1:40PM</t>
  </si>
  <si>
    <t>QFZ1222</t>
  </si>
  <si>
    <t>QFZ1223</t>
  </si>
  <si>
    <t>QFZ1225</t>
  </si>
  <si>
    <t>QFZ1226</t>
  </si>
  <si>
    <t>QFZ1224</t>
  </si>
  <si>
    <t>BBZ</t>
  </si>
  <si>
    <t>DP+</t>
  </si>
  <si>
    <t>Tuesday</t>
  </si>
  <si>
    <t>8:40AM</t>
  </si>
  <si>
    <t>9:25AM</t>
  </si>
  <si>
    <t>8:55AM</t>
  </si>
  <si>
    <t>9:40AM</t>
  </si>
  <si>
    <t>11:10AM</t>
  </si>
  <si>
    <t>10:45AM</t>
  </si>
  <si>
    <t>11:00AM</t>
  </si>
  <si>
    <t>12:00PM</t>
  </si>
  <si>
    <t>OFP DCC</t>
  </si>
  <si>
    <t>Wednesday</t>
  </si>
  <si>
    <t>10:05AM</t>
  </si>
  <si>
    <t>QFZ1230</t>
  </si>
  <si>
    <t>QFZ1232</t>
  </si>
  <si>
    <t>QFZ1231</t>
  </si>
  <si>
    <t>QFZ1228</t>
  </si>
  <si>
    <t>QFZ1229</t>
  </si>
  <si>
    <t>9:55AM</t>
  </si>
  <si>
    <t>10:10AM</t>
  </si>
  <si>
    <t>10:40AM</t>
  </si>
  <si>
    <t>12:45PM</t>
  </si>
  <si>
    <t>2:40PM</t>
  </si>
  <si>
    <t>1:15PM</t>
  </si>
  <si>
    <t>5:00PM</t>
  </si>
  <si>
    <t>2:25PM</t>
  </si>
  <si>
    <t>11:26AM</t>
  </si>
  <si>
    <t>4:25PM</t>
  </si>
  <si>
    <t>11:05AM</t>
  </si>
  <si>
    <t>Thursday</t>
  </si>
  <si>
    <t>2:45PM</t>
  </si>
  <si>
    <t>11:40AM</t>
  </si>
  <si>
    <t>QFZ1235</t>
  </si>
  <si>
    <t>QFZ1234</t>
  </si>
  <si>
    <t>QFZ1233</t>
  </si>
  <si>
    <t>2:30PM</t>
  </si>
  <si>
    <t>2:00PM</t>
  </si>
  <si>
    <t>12:35PM</t>
  </si>
  <si>
    <t>LCW</t>
  </si>
  <si>
    <t>ADI</t>
  </si>
  <si>
    <t>OFP</t>
  </si>
  <si>
    <t>7:25AM</t>
  </si>
  <si>
    <t>8:35AM</t>
  </si>
  <si>
    <t>6:30PM</t>
  </si>
  <si>
    <t>9:50AM</t>
  </si>
  <si>
    <t>9:10AM</t>
  </si>
  <si>
    <t>11:45AM</t>
  </si>
  <si>
    <t>10:50AM</t>
  </si>
  <si>
    <t>11;30AM</t>
  </si>
  <si>
    <t>1:00PM</t>
  </si>
  <si>
    <t>QFZ1236</t>
  </si>
  <si>
    <t>QFZ1238</t>
  </si>
  <si>
    <t>QFZ1239</t>
  </si>
  <si>
    <t>QFZ1240</t>
  </si>
  <si>
    <t>QFZ1241</t>
  </si>
  <si>
    <t>QFZ1237</t>
  </si>
  <si>
    <t>QFZ1242</t>
  </si>
  <si>
    <t>QFZ1243</t>
  </si>
  <si>
    <t>METROLOGY APPROVAL</t>
  </si>
  <si>
    <t>1:30PM</t>
  </si>
  <si>
    <t>5:30PM</t>
  </si>
  <si>
    <t>1:04PM</t>
  </si>
  <si>
    <t>5:51PM</t>
  </si>
  <si>
    <t>11:30AM</t>
  </si>
  <si>
    <t>Total Dispatch Days&amp;Hrs</t>
  </si>
  <si>
    <t>new store opening stocks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</si>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</sst>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18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22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6\QFZ%20Export%20docs%20-%202026\Master%20Sheet%20QFZ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028">
          <cell r="B1028" t="str">
            <v>QFZ1074</v>
          </cell>
          <cell r="C1028">
            <v>110186</v>
          </cell>
          <cell r="D1028">
            <v>46235</v>
          </cell>
          <cell r="E1028">
            <v>46238</v>
          </cell>
          <cell r="F1028">
            <v>46240</v>
          </cell>
          <cell r="G1028" t="str">
            <v>APPAREL INT QFZ</v>
          </cell>
          <cell r="H1028" t="str">
            <v>DP</v>
          </cell>
        </row>
        <row r="1029">
          <cell r="B1029" t="str">
            <v>QFZ1075</v>
          </cell>
          <cell r="C1029">
            <v>109982</v>
          </cell>
          <cell r="D1029">
            <v>46232</v>
          </cell>
          <cell r="E1029">
            <v>46233</v>
          </cell>
          <cell r="F1029">
            <v>46233</v>
          </cell>
          <cell r="G1029" t="str">
            <v>APPAREL INT QFZ</v>
          </cell>
          <cell r="H1029" t="str">
            <v>Mix</v>
          </cell>
        </row>
        <row r="1030">
          <cell r="B1030" t="str">
            <v>QFZ1076</v>
          </cell>
          <cell r="C1030">
            <v>109984</v>
          </cell>
          <cell r="D1030">
            <v>46232</v>
          </cell>
          <cell r="E1030">
            <v>46233</v>
          </cell>
          <cell r="F1030">
            <v>46233</v>
          </cell>
          <cell r="G1030" t="str">
            <v>APPAREL INT QFZ</v>
          </cell>
          <cell r="H1030" t="str">
            <v>R&amp;B</v>
          </cell>
        </row>
        <row r="1031">
          <cell r="B1031" t="str">
            <v>QFZ1077</v>
          </cell>
          <cell r="C1031">
            <v>110007</v>
          </cell>
          <cell r="D1031">
            <v>46233</v>
          </cell>
          <cell r="E1031">
            <v>46233</v>
          </cell>
          <cell r="F1031" t="str">
            <v>31-Jun-26</v>
          </cell>
          <cell r="G1031" t="str">
            <v>APPAREL INT QFZ</v>
          </cell>
          <cell r="H1031" t="str">
            <v>R&amp;B</v>
          </cell>
        </row>
        <row r="1032">
          <cell r="B1032" t="str">
            <v>QFZ1078</v>
          </cell>
          <cell r="C1032">
            <v>110009</v>
          </cell>
          <cell r="D1032">
            <v>46233</v>
          </cell>
          <cell r="E1032">
            <v>46233</v>
          </cell>
          <cell r="F1032">
            <v>46235</v>
          </cell>
          <cell r="G1032" t="str">
            <v>APPAREL INT QFZ</v>
          </cell>
          <cell r="H1032" t="str">
            <v>LCW</v>
          </cell>
        </row>
        <row r="1033">
          <cell r="B1033" t="str">
            <v>QFZ1079</v>
          </cell>
          <cell r="C1033">
            <v>110010</v>
          </cell>
          <cell r="D1033">
            <v>46233</v>
          </cell>
          <cell r="E1033">
            <v>46233</v>
          </cell>
          <cell r="F1033">
            <v>46235</v>
          </cell>
          <cell r="G1033" t="str">
            <v>APPAREL INT QFZ</v>
          </cell>
          <cell r="H1033" t="str">
            <v>BBZ</v>
          </cell>
        </row>
        <row r="1034">
          <cell r="B1034" t="str">
            <v>QFZ1080</v>
          </cell>
          <cell r="C1034">
            <v>110011</v>
          </cell>
          <cell r="D1034">
            <v>46233</v>
          </cell>
          <cell r="E1034">
            <v>46233</v>
          </cell>
          <cell r="F1034">
            <v>46235</v>
          </cell>
          <cell r="G1034" t="str">
            <v>APPAREL INT QFZ</v>
          </cell>
          <cell r="H1034" t="str">
            <v>Mix</v>
          </cell>
        </row>
        <row r="1035">
          <cell r="B1035" t="str">
            <v>QFZ1081</v>
          </cell>
          <cell r="C1035" t="str">
            <v>APP30229</v>
          </cell>
          <cell r="D1035">
            <v>46233</v>
          </cell>
          <cell r="E1035">
            <v>46239</v>
          </cell>
          <cell r="F1035">
            <v>46240</v>
          </cell>
          <cell r="G1035" t="str">
            <v>APPAREL INT QFZ</v>
          </cell>
          <cell r="H1035" t="str">
            <v>NY</v>
          </cell>
        </row>
        <row r="1036">
          <cell r="B1036" t="str">
            <v>QFZ1082</v>
          </cell>
          <cell r="C1036">
            <v>110047</v>
          </cell>
          <cell r="D1036">
            <v>46233</v>
          </cell>
          <cell r="E1036">
            <v>46235</v>
          </cell>
          <cell r="F1036">
            <v>46235</v>
          </cell>
          <cell r="G1036" t="str">
            <v>APPAREL INT QFZ</v>
          </cell>
          <cell r="H1036" t="str">
            <v>Mix</v>
          </cell>
        </row>
        <row r="1037">
          <cell r="B1037" t="str">
            <v>QFZ1083</v>
          </cell>
          <cell r="C1037">
            <v>110056</v>
          </cell>
          <cell r="D1037">
            <v>46233</v>
          </cell>
          <cell r="E1037">
            <v>46235</v>
          </cell>
          <cell r="F1037">
            <v>46235</v>
          </cell>
          <cell r="G1037" t="str">
            <v>APPAREL INT QFZ</v>
          </cell>
          <cell r="H1037" t="str">
            <v>OFP</v>
          </cell>
        </row>
        <row r="1038">
          <cell r="B1038" t="str">
            <v>QFZ1084</v>
          </cell>
          <cell r="C1038">
            <v>110058</v>
          </cell>
          <cell r="D1038">
            <v>46233</v>
          </cell>
          <cell r="E1038">
            <v>46235</v>
          </cell>
          <cell r="F1038">
            <v>46235</v>
          </cell>
          <cell r="G1038" t="str">
            <v>APPAREL INT QFZ</v>
          </cell>
          <cell r="H1038" t="str">
            <v>R&amp;B</v>
          </cell>
        </row>
        <row r="1039">
          <cell r="B1039" t="str">
            <v>QFZ1085</v>
          </cell>
          <cell r="C1039">
            <v>110069</v>
          </cell>
          <cell r="D1039">
            <v>46233</v>
          </cell>
          <cell r="E1039">
            <v>46237</v>
          </cell>
          <cell r="F1039">
            <v>46238</v>
          </cell>
          <cell r="G1039" t="str">
            <v>APPAREL INT QFZ</v>
          </cell>
          <cell r="H1039" t="str">
            <v>LCW</v>
          </cell>
        </row>
        <row r="1040">
          <cell r="B1040" t="str">
            <v>QFZ1086</v>
          </cell>
          <cell r="C1040">
            <v>110070</v>
          </cell>
          <cell r="D1040">
            <v>46233</v>
          </cell>
          <cell r="E1040">
            <v>46238</v>
          </cell>
          <cell r="F1040">
            <v>46239</v>
          </cell>
          <cell r="G1040" t="str">
            <v>APPAREL INT QFZ</v>
          </cell>
          <cell r="H1040" t="str">
            <v>LCW</v>
          </cell>
        </row>
        <row r="1041">
          <cell r="B1041" t="str">
            <v>QFZ1087</v>
          </cell>
          <cell r="C1041">
            <v>110071</v>
          </cell>
          <cell r="D1041">
            <v>46233</v>
          </cell>
          <cell r="E1041">
            <v>46235</v>
          </cell>
          <cell r="F1041">
            <v>46235</v>
          </cell>
          <cell r="G1041" t="str">
            <v>APPAREL INT QFZ</v>
          </cell>
          <cell r="H1041" t="str">
            <v>B&amp;M</v>
          </cell>
        </row>
        <row r="1042">
          <cell r="B1042" t="str">
            <v>QFZ1088</v>
          </cell>
          <cell r="C1042">
            <v>110178</v>
          </cell>
          <cell r="D1042">
            <v>46235</v>
          </cell>
          <cell r="E1042">
            <v>46236</v>
          </cell>
          <cell r="F1042">
            <v>46236</v>
          </cell>
          <cell r="G1042" t="str">
            <v>APPAREL INT QFZ</v>
          </cell>
          <cell r="H1042" t="str">
            <v>Mix</v>
          </cell>
        </row>
        <row r="1043">
          <cell r="B1043" t="str">
            <v>QFZ1089</v>
          </cell>
          <cell r="C1043">
            <v>110182</v>
          </cell>
          <cell r="D1043">
            <v>46235</v>
          </cell>
          <cell r="E1043">
            <v>46236</v>
          </cell>
          <cell r="F1043">
            <v>46236</v>
          </cell>
          <cell r="G1043" t="str">
            <v>APPAREL INT QFZ</v>
          </cell>
          <cell r="H1043" t="str">
            <v>R&amp;B</v>
          </cell>
        </row>
        <row r="1044">
          <cell r="B1044" t="str">
            <v>QFZ1090</v>
          </cell>
          <cell r="C1044">
            <v>110183</v>
          </cell>
          <cell r="D1044">
            <v>46235</v>
          </cell>
          <cell r="E1044">
            <v>46236</v>
          </cell>
          <cell r="F1044">
            <v>46236</v>
          </cell>
          <cell r="G1044" t="str">
            <v>APPAREL INT QFZ</v>
          </cell>
          <cell r="H1044" t="str">
            <v>R&amp;B</v>
          </cell>
        </row>
        <row r="1045">
          <cell r="B1045" t="str">
            <v>QFZ1091</v>
          </cell>
          <cell r="C1045">
            <v>110184</v>
          </cell>
          <cell r="D1045">
            <v>46235</v>
          </cell>
          <cell r="E1045">
            <v>46237</v>
          </cell>
          <cell r="F1045">
            <v>46238</v>
          </cell>
          <cell r="G1045" t="str">
            <v>APPAREL INT QFZ</v>
          </cell>
          <cell r="H1045" t="str">
            <v>B&amp;M</v>
          </cell>
        </row>
        <row r="1046">
          <cell r="B1046" t="str">
            <v>QFZ1092</v>
          </cell>
          <cell r="C1046">
            <v>110185</v>
          </cell>
          <cell r="D1046">
            <v>46235</v>
          </cell>
          <cell r="E1046">
            <v>46236</v>
          </cell>
          <cell r="F1046">
            <v>46237</v>
          </cell>
          <cell r="G1046" t="str">
            <v>APPAREL INT QFZ</v>
          </cell>
          <cell r="H1046" t="str">
            <v>BBZ</v>
          </cell>
        </row>
        <row r="1047">
          <cell r="B1047" t="str">
            <v>QFZ1093</v>
          </cell>
          <cell r="C1047">
            <v>110179</v>
          </cell>
          <cell r="D1047">
            <v>46235</v>
          </cell>
          <cell r="E1047">
            <v>46236</v>
          </cell>
          <cell r="F1047">
            <v>46236</v>
          </cell>
          <cell r="G1047" t="str">
            <v>APPAREL INT QFZ</v>
          </cell>
          <cell r="H1047" t="str">
            <v>Mix</v>
          </cell>
        </row>
        <row r="1048">
          <cell r="B1048" t="str">
            <v>QFZ1094</v>
          </cell>
          <cell r="C1048">
            <v>110180</v>
          </cell>
          <cell r="D1048">
            <v>46235</v>
          </cell>
          <cell r="E1048">
            <v>46236</v>
          </cell>
          <cell r="F1048">
            <v>46236</v>
          </cell>
          <cell r="G1048" t="str">
            <v>APPAREL INT QFZ</v>
          </cell>
          <cell r="H1048" t="str">
            <v>ADI</v>
          </cell>
        </row>
        <row r="1049">
          <cell r="B1049" t="str">
            <v>QFZ1095</v>
          </cell>
          <cell r="C1049">
            <v>110181</v>
          </cell>
          <cell r="D1049">
            <v>46235</v>
          </cell>
          <cell r="E1049">
            <v>46237</v>
          </cell>
          <cell r="F1049">
            <v>46237</v>
          </cell>
          <cell r="G1049" t="str">
            <v>APPAREL INT QFZ</v>
          </cell>
          <cell r="H1049" t="str">
            <v>OFP</v>
          </cell>
        </row>
        <row r="1050">
          <cell r="B1050" t="str">
            <v>QFZ1096</v>
          </cell>
          <cell r="C1050">
            <v>110212</v>
          </cell>
          <cell r="D1050">
            <v>46236</v>
          </cell>
          <cell r="E1050">
            <v>46237</v>
          </cell>
          <cell r="F1050">
            <v>46237</v>
          </cell>
          <cell r="G1050" t="str">
            <v>APPAREL INT QFZ</v>
          </cell>
          <cell r="H1050" t="str">
            <v>R&amp;B</v>
          </cell>
        </row>
        <row r="1051">
          <cell r="B1051" t="str">
            <v>QFZ1097</v>
          </cell>
          <cell r="C1051">
            <v>110213</v>
          </cell>
          <cell r="D1051">
            <v>46236</v>
          </cell>
          <cell r="E1051">
            <v>46237</v>
          </cell>
          <cell r="F1051">
            <v>46237</v>
          </cell>
          <cell r="G1051" t="str">
            <v>APPAREL INT QFZ</v>
          </cell>
          <cell r="H1051" t="str">
            <v>Mix</v>
          </cell>
        </row>
        <row r="1052">
          <cell r="B1052" t="str">
            <v>QFZ1098</v>
          </cell>
          <cell r="C1052">
            <v>110223</v>
          </cell>
          <cell r="D1052">
            <v>46236</v>
          </cell>
          <cell r="E1052">
            <v>46237</v>
          </cell>
          <cell r="F1052">
            <v>46238</v>
          </cell>
          <cell r="G1052" t="str">
            <v>APPAREL INT QFZ</v>
          </cell>
          <cell r="H1052" t="str">
            <v>BBZ</v>
          </cell>
        </row>
        <row r="1053">
          <cell r="B1053" t="str">
            <v>QFZ1099</v>
          </cell>
          <cell r="C1053">
            <v>110221</v>
          </cell>
          <cell r="D1053">
            <v>46236</v>
          </cell>
          <cell r="E1053">
            <v>46237</v>
          </cell>
          <cell r="F1053">
            <v>46237</v>
          </cell>
          <cell r="G1053" t="str">
            <v>APPAREL INT QFZ</v>
          </cell>
          <cell r="H1053" t="str">
            <v>R&amp;B</v>
          </cell>
        </row>
        <row r="1054">
          <cell r="B1054" t="str">
            <v>QFZ1100</v>
          </cell>
          <cell r="C1054">
            <v>110220</v>
          </cell>
          <cell r="D1054">
            <v>46236</v>
          </cell>
          <cell r="E1054">
            <v>46237</v>
          </cell>
          <cell r="F1054">
            <v>46237</v>
          </cell>
          <cell r="G1054" t="str">
            <v>APPAREL INT QFZ</v>
          </cell>
          <cell r="H1054" t="str">
            <v>Mix</v>
          </cell>
        </row>
        <row r="1055">
          <cell r="B1055" t="str">
            <v>QFZ1101</v>
          </cell>
          <cell r="C1055">
            <v>110222</v>
          </cell>
          <cell r="D1055">
            <v>46236</v>
          </cell>
          <cell r="E1055">
            <v>46237</v>
          </cell>
          <cell r="F1055">
            <v>46239</v>
          </cell>
          <cell r="G1055" t="str">
            <v>APPAREL INT QFZ</v>
          </cell>
          <cell r="H1055" t="str">
            <v>B&amp;M</v>
          </cell>
        </row>
        <row r="1056">
          <cell r="B1056" t="str">
            <v>QFZ1102</v>
          </cell>
          <cell r="C1056">
            <v>110247</v>
          </cell>
          <cell r="D1056">
            <v>46237</v>
          </cell>
          <cell r="E1056">
            <v>46237</v>
          </cell>
          <cell r="F1056">
            <v>46238</v>
          </cell>
          <cell r="G1056" t="str">
            <v>APPAREL INT QFZ</v>
          </cell>
          <cell r="H1056" t="str">
            <v>Mix</v>
          </cell>
        </row>
        <row r="1057">
          <cell r="B1057" t="str">
            <v>QFZ1103</v>
          </cell>
          <cell r="C1057">
            <v>110249</v>
          </cell>
          <cell r="D1057">
            <v>46237</v>
          </cell>
          <cell r="E1057">
            <v>46237</v>
          </cell>
          <cell r="F1057">
            <v>46238</v>
          </cell>
          <cell r="G1057" t="str">
            <v>APPAREL INT QFZ</v>
          </cell>
          <cell r="H1057" t="str">
            <v>Mix</v>
          </cell>
        </row>
        <row r="1058">
          <cell r="B1058" t="str">
            <v>QFZ1104</v>
          </cell>
          <cell r="C1058">
            <v>110250</v>
          </cell>
          <cell r="D1058">
            <v>46237</v>
          </cell>
          <cell r="E1058">
            <v>46237</v>
          </cell>
          <cell r="F1058">
            <v>46238</v>
          </cell>
          <cell r="G1058" t="str">
            <v>APPAREL INT QFZ</v>
          </cell>
          <cell r="H1058" t="str">
            <v>R&amp;B</v>
          </cell>
        </row>
        <row r="1059">
          <cell r="B1059" t="str">
            <v>QFZ1105</v>
          </cell>
          <cell r="C1059">
            <v>110251</v>
          </cell>
          <cell r="D1059">
            <v>46237</v>
          </cell>
          <cell r="E1059">
            <v>46237</v>
          </cell>
          <cell r="F1059">
            <v>46239</v>
          </cell>
          <cell r="G1059" t="str">
            <v>APPAREL INT QFZ</v>
          </cell>
          <cell r="H1059" t="str">
            <v>BBZ</v>
          </cell>
        </row>
        <row r="1060">
          <cell r="B1060" t="str">
            <v>QFZ1106</v>
          </cell>
          <cell r="C1060">
            <v>110285</v>
          </cell>
          <cell r="D1060">
            <v>46237</v>
          </cell>
          <cell r="E1060">
            <v>46238</v>
          </cell>
          <cell r="F1060">
            <v>46238</v>
          </cell>
          <cell r="G1060" t="str">
            <v>APPAREL INT QFZ</v>
          </cell>
          <cell r="H1060" t="str">
            <v>Mix</v>
          </cell>
        </row>
        <row r="1061">
          <cell r="B1061" t="str">
            <v>QFZ1107</v>
          </cell>
          <cell r="C1061">
            <v>110290</v>
          </cell>
          <cell r="D1061">
            <v>46237</v>
          </cell>
          <cell r="E1061">
            <v>46238</v>
          </cell>
          <cell r="F1061">
            <v>46239</v>
          </cell>
          <cell r="G1061" t="str">
            <v>APPAREL INT QFZ</v>
          </cell>
          <cell r="H1061" t="str">
            <v>BBZ</v>
          </cell>
        </row>
        <row r="1062">
          <cell r="B1062" t="str">
            <v>QFZ1108</v>
          </cell>
          <cell r="C1062">
            <v>110288</v>
          </cell>
          <cell r="D1062">
            <v>46237</v>
          </cell>
          <cell r="E1062">
            <v>46238</v>
          </cell>
          <cell r="F1062">
            <v>46240</v>
          </cell>
          <cell r="G1062" t="str">
            <v>APPAREL INT QFZ</v>
          </cell>
          <cell r="H1062" t="str">
            <v>B&amp;M</v>
          </cell>
        </row>
        <row r="1063">
          <cell r="B1063" t="str">
            <v>QFZ1109</v>
          </cell>
          <cell r="C1063">
            <v>110293</v>
          </cell>
          <cell r="D1063">
            <v>46237</v>
          </cell>
          <cell r="E1063">
            <v>46238</v>
          </cell>
          <cell r="F1063">
            <v>46238</v>
          </cell>
          <cell r="G1063" t="str">
            <v>APPAREL INT QFZ</v>
          </cell>
          <cell r="H1063" t="str">
            <v>R&amp;B</v>
          </cell>
        </row>
        <row r="1064">
          <cell r="B1064" t="str">
            <v>QFZ1110</v>
          </cell>
          <cell r="C1064">
            <v>110328</v>
          </cell>
          <cell r="D1064">
            <v>46238</v>
          </cell>
          <cell r="E1064">
            <v>46238</v>
          </cell>
          <cell r="F1064">
            <v>46239</v>
          </cell>
          <cell r="G1064" t="str">
            <v>APPAREL INT QFZ</v>
          </cell>
          <cell r="H1064" t="str">
            <v>Mix</v>
          </cell>
        </row>
        <row r="1065">
          <cell r="B1065" t="str">
            <v>QFZ1111</v>
          </cell>
          <cell r="C1065">
            <v>110330</v>
          </cell>
          <cell r="D1065">
            <v>46238</v>
          </cell>
          <cell r="E1065">
            <v>46238</v>
          </cell>
          <cell r="F1065">
            <v>46239</v>
          </cell>
          <cell r="G1065" t="str">
            <v>APPAREL INT QFZ</v>
          </cell>
          <cell r="H1065" t="str">
            <v>Mix</v>
          </cell>
        </row>
        <row r="1066">
          <cell r="B1066" t="str">
            <v>QFZ1112</v>
          </cell>
          <cell r="C1066">
            <v>110326</v>
          </cell>
          <cell r="D1066">
            <v>46238</v>
          </cell>
          <cell r="E1066">
            <v>46238</v>
          </cell>
          <cell r="F1066">
            <v>46239</v>
          </cell>
          <cell r="G1066" t="str">
            <v>APPAREL INT QFZ</v>
          </cell>
          <cell r="H1066" t="str">
            <v>KOTON &amp; MIX</v>
          </cell>
        </row>
        <row r="1067">
          <cell r="B1067" t="str">
            <v>QFZ1113</v>
          </cell>
          <cell r="C1067">
            <v>110335</v>
          </cell>
          <cell r="D1067">
            <v>46238</v>
          </cell>
          <cell r="E1067">
            <v>46239</v>
          </cell>
          <cell r="F1067">
            <v>46243</v>
          </cell>
          <cell r="G1067" t="str">
            <v>APPAREL INT QFZ</v>
          </cell>
          <cell r="H1067" t="str">
            <v>DP</v>
          </cell>
        </row>
        <row r="1068">
          <cell r="B1068" t="str">
            <v>QFZ1114</v>
          </cell>
          <cell r="C1068" t="str">
            <v xml:space="preserve">QD4452 </v>
          </cell>
          <cell r="D1068">
            <v>46238</v>
          </cell>
          <cell r="E1068">
            <v>46238</v>
          </cell>
          <cell r="F1068">
            <v>46239</v>
          </cell>
          <cell r="G1068" t="str">
            <v>APPAREL INT QFZ</v>
          </cell>
          <cell r="H1068" t="str">
            <v>R&amp;B</v>
          </cell>
        </row>
        <row r="1069">
          <cell r="B1069" t="str">
            <v>QFZ1115</v>
          </cell>
          <cell r="C1069">
            <v>110357</v>
          </cell>
          <cell r="D1069">
            <v>46238</v>
          </cell>
          <cell r="E1069">
            <v>46239</v>
          </cell>
          <cell r="F1069">
            <v>46239</v>
          </cell>
          <cell r="G1069" t="str">
            <v>APPAREL INT QFZ</v>
          </cell>
          <cell r="H1069" t="str">
            <v>Mix</v>
          </cell>
        </row>
        <row r="1070">
          <cell r="B1070" t="str">
            <v>QFZ1116</v>
          </cell>
          <cell r="C1070">
            <v>110358</v>
          </cell>
          <cell r="D1070">
            <v>46238</v>
          </cell>
          <cell r="E1070">
            <v>46239</v>
          </cell>
          <cell r="F1070">
            <v>46240</v>
          </cell>
          <cell r="G1070" t="str">
            <v>APPAREL INT QFZ</v>
          </cell>
          <cell r="H1070" t="str">
            <v>Mix</v>
          </cell>
        </row>
        <row r="1071">
          <cell r="B1071" t="str">
            <v>QFZ1117</v>
          </cell>
          <cell r="C1071">
            <v>110361</v>
          </cell>
          <cell r="D1071">
            <v>46238</v>
          </cell>
          <cell r="E1071">
            <v>46239</v>
          </cell>
          <cell r="F1071">
            <v>46239</v>
          </cell>
          <cell r="G1071" t="str">
            <v>APPAREL INT QFZ</v>
          </cell>
          <cell r="H1071" t="str">
            <v>HAV&amp;LE</v>
          </cell>
        </row>
        <row r="1072">
          <cell r="B1072" t="str">
            <v>QFZ1118</v>
          </cell>
          <cell r="C1072">
            <v>110356</v>
          </cell>
          <cell r="D1072">
            <v>46238</v>
          </cell>
          <cell r="E1072">
            <v>46240</v>
          </cell>
          <cell r="F1072">
            <v>46240</v>
          </cell>
          <cell r="G1072" t="str">
            <v>APPAREL INT QFZ</v>
          </cell>
          <cell r="H1072" t="str">
            <v>Mix</v>
          </cell>
        </row>
        <row r="1073">
          <cell r="B1073" t="str">
            <v>QFZ1119</v>
          </cell>
          <cell r="C1073">
            <v>110359</v>
          </cell>
          <cell r="D1073">
            <v>46238</v>
          </cell>
          <cell r="E1073">
            <v>46239</v>
          </cell>
          <cell r="F1073">
            <v>46240</v>
          </cell>
          <cell r="G1073" t="str">
            <v>APPAREL INT QFZ</v>
          </cell>
          <cell r="H1073" t="str">
            <v>Mix</v>
          </cell>
        </row>
        <row r="1074">
          <cell r="B1074" t="str">
            <v>QFZ1120</v>
          </cell>
          <cell r="C1074">
            <v>110374</v>
          </cell>
          <cell r="D1074">
            <v>46239</v>
          </cell>
          <cell r="E1074">
            <v>46240</v>
          </cell>
          <cell r="F1074">
            <v>46242</v>
          </cell>
          <cell r="G1074" t="str">
            <v>APPAREL INT QFZ</v>
          </cell>
          <cell r="H1074" t="str">
            <v>Mix</v>
          </cell>
        </row>
        <row r="1075">
          <cell r="B1075" t="str">
            <v>QFZ1121</v>
          </cell>
          <cell r="C1075">
            <v>110376</v>
          </cell>
          <cell r="D1075">
            <v>46239</v>
          </cell>
          <cell r="E1075">
            <v>46239</v>
          </cell>
          <cell r="F1075">
            <v>46240</v>
          </cell>
          <cell r="G1075" t="str">
            <v>APPAREL INT QFZ</v>
          </cell>
          <cell r="H1075" t="str">
            <v>Mix</v>
          </cell>
        </row>
        <row r="1076">
          <cell r="B1076" t="str">
            <v>QFZ1122</v>
          </cell>
          <cell r="C1076">
            <v>110379</v>
          </cell>
          <cell r="D1076">
            <v>46239</v>
          </cell>
          <cell r="E1076">
            <v>46239</v>
          </cell>
          <cell r="F1076">
            <v>46240</v>
          </cell>
          <cell r="G1076" t="str">
            <v>APPAREL INT QFZ</v>
          </cell>
          <cell r="H1076" t="str">
            <v>Mix</v>
          </cell>
        </row>
        <row r="1077">
          <cell r="B1077" t="str">
            <v>QFZ1123</v>
          </cell>
          <cell r="C1077">
            <v>110384</v>
          </cell>
          <cell r="D1077">
            <v>46239</v>
          </cell>
          <cell r="E1077">
            <v>46239</v>
          </cell>
          <cell r="F1077">
            <v>46240</v>
          </cell>
          <cell r="G1077" t="str">
            <v>APPAREL INT QFZ</v>
          </cell>
          <cell r="H1077" t="str">
            <v>Mix</v>
          </cell>
        </row>
        <row r="1078">
          <cell r="B1078" t="str">
            <v>QFZ1124</v>
          </cell>
          <cell r="C1078" t="str">
            <v>APP30546</v>
          </cell>
          <cell r="D1078">
            <v>46239</v>
          </cell>
          <cell r="E1078">
            <v>46250</v>
          </cell>
          <cell r="G1078" t="str">
            <v>APPAREL INT QFZ</v>
          </cell>
          <cell r="H1078" t="str">
            <v>NY</v>
          </cell>
        </row>
        <row r="1079">
          <cell r="B1079" t="str">
            <v>QFZ1125</v>
          </cell>
          <cell r="C1079" t="str">
            <v>APP30384</v>
          </cell>
          <cell r="D1079">
            <v>46239</v>
          </cell>
          <cell r="E1079">
            <v>46242</v>
          </cell>
          <cell r="F1079">
            <v>46245</v>
          </cell>
          <cell r="G1079" t="str">
            <v>APPAREL INT QFZ</v>
          </cell>
          <cell r="H1079" t="str">
            <v>NY</v>
          </cell>
        </row>
        <row r="1080">
          <cell r="B1080" t="str">
            <v>QFZ1126</v>
          </cell>
          <cell r="C1080">
            <v>110411</v>
          </cell>
          <cell r="D1080">
            <v>46239</v>
          </cell>
          <cell r="E1080">
            <v>46240</v>
          </cell>
          <cell r="F1080">
            <v>46240</v>
          </cell>
          <cell r="G1080" t="str">
            <v>APPAREL INT QFZ</v>
          </cell>
          <cell r="H1080" t="str">
            <v>Mix</v>
          </cell>
        </row>
        <row r="1081">
          <cell r="B1081" t="str">
            <v>QFZ1127</v>
          </cell>
          <cell r="C1081">
            <v>110421</v>
          </cell>
          <cell r="D1081">
            <v>46239</v>
          </cell>
          <cell r="E1081">
            <v>46240</v>
          </cell>
          <cell r="F1081">
            <v>46240</v>
          </cell>
          <cell r="G1081" t="str">
            <v>APPAREL INT QFZ</v>
          </cell>
          <cell r="H1081" t="str">
            <v>BBZ</v>
          </cell>
        </row>
        <row r="1082">
          <cell r="B1082" t="str">
            <v>QFZ1128</v>
          </cell>
          <cell r="C1082">
            <v>110412</v>
          </cell>
          <cell r="D1082">
            <v>46239</v>
          </cell>
          <cell r="E1082">
            <v>46240</v>
          </cell>
          <cell r="F1082">
            <v>46240</v>
          </cell>
          <cell r="G1082" t="str">
            <v>APPAREL INT QFZ</v>
          </cell>
          <cell r="H1082" t="str">
            <v>Mix</v>
          </cell>
        </row>
        <row r="1083">
          <cell r="B1083" t="str">
            <v>QFZ1129</v>
          </cell>
          <cell r="C1083">
            <v>110415</v>
          </cell>
          <cell r="D1083">
            <v>46239</v>
          </cell>
          <cell r="E1083">
            <v>46240</v>
          </cell>
          <cell r="F1083">
            <v>46240</v>
          </cell>
          <cell r="G1083" t="str">
            <v>APPAREL INT QFZ</v>
          </cell>
          <cell r="H1083" t="str">
            <v>Mix</v>
          </cell>
        </row>
        <row r="1084">
          <cell r="B1084" t="str">
            <v>QFZ1130</v>
          </cell>
          <cell r="C1084">
            <v>110413</v>
          </cell>
          <cell r="D1084">
            <v>46239</v>
          </cell>
          <cell r="E1084">
            <v>46240</v>
          </cell>
          <cell r="F1084">
            <v>46242</v>
          </cell>
          <cell r="G1084" t="str">
            <v>APPAREL INT QFZ</v>
          </cell>
          <cell r="H1084" t="str">
            <v>Mix</v>
          </cell>
        </row>
        <row r="1085">
          <cell r="B1085" t="str">
            <v>QFZ1131</v>
          </cell>
          <cell r="C1085">
            <v>110420</v>
          </cell>
          <cell r="D1085">
            <v>46239</v>
          </cell>
          <cell r="E1085">
            <v>46240</v>
          </cell>
          <cell r="F1085">
            <v>46242</v>
          </cell>
          <cell r="G1085" t="str">
            <v>APPAREL INT QFZ</v>
          </cell>
          <cell r="H1085" t="str">
            <v>Mix</v>
          </cell>
        </row>
        <row r="1086">
          <cell r="B1086" t="str">
            <v>QFZ1132</v>
          </cell>
          <cell r="C1086">
            <v>110414</v>
          </cell>
          <cell r="D1086">
            <v>46239</v>
          </cell>
          <cell r="E1086">
            <v>46242</v>
          </cell>
          <cell r="F1086">
            <v>46242</v>
          </cell>
          <cell r="G1086" t="str">
            <v>APPAREL INT QFZ</v>
          </cell>
          <cell r="H1086" t="str">
            <v>Mix</v>
          </cell>
        </row>
        <row r="1087">
          <cell r="B1087" t="str">
            <v>QFZ1133</v>
          </cell>
          <cell r="C1087">
            <v>110416</v>
          </cell>
          <cell r="D1087">
            <v>46239</v>
          </cell>
          <cell r="E1087">
            <v>46240</v>
          </cell>
          <cell r="F1087">
            <v>46242</v>
          </cell>
          <cell r="G1087" t="str">
            <v>APPAREL INT QFZ</v>
          </cell>
          <cell r="H1087" t="str">
            <v>Mix</v>
          </cell>
        </row>
        <row r="1088">
          <cell r="B1088" t="str">
            <v>QFZ1134</v>
          </cell>
          <cell r="C1088">
            <v>110419</v>
          </cell>
          <cell r="D1088">
            <v>46239</v>
          </cell>
          <cell r="E1088">
            <v>46240</v>
          </cell>
          <cell r="F1088">
            <v>46242</v>
          </cell>
          <cell r="G1088" t="str">
            <v>APPAREL INT QFZ</v>
          </cell>
          <cell r="H1088" t="str">
            <v>Mix</v>
          </cell>
        </row>
        <row r="1089">
          <cell r="B1089" t="str">
            <v>QFZ1135</v>
          </cell>
          <cell r="C1089">
            <v>110451</v>
          </cell>
          <cell r="D1089">
            <v>46240</v>
          </cell>
          <cell r="E1089">
            <v>46242</v>
          </cell>
          <cell r="F1089">
            <v>46242</v>
          </cell>
          <cell r="G1089" t="str">
            <v>APPAREL INT QFZ</v>
          </cell>
          <cell r="H1089" t="str">
            <v>Mix</v>
          </cell>
        </row>
        <row r="1090">
          <cell r="B1090" t="str">
            <v>QFZ1136</v>
          </cell>
          <cell r="C1090">
            <v>110443</v>
          </cell>
          <cell r="D1090">
            <v>46240</v>
          </cell>
          <cell r="E1090">
            <v>46240</v>
          </cell>
          <cell r="F1090">
            <v>46242</v>
          </cell>
          <cell r="G1090" t="str">
            <v>APPAREL INT QFZ</v>
          </cell>
          <cell r="H1090" t="str">
            <v>Mix</v>
          </cell>
        </row>
        <row r="1091">
          <cell r="B1091" t="str">
            <v>QFZ1137</v>
          </cell>
          <cell r="C1091">
            <v>110445</v>
          </cell>
          <cell r="D1091">
            <v>46240</v>
          </cell>
          <cell r="E1091">
            <v>46240</v>
          </cell>
          <cell r="F1091">
            <v>46242</v>
          </cell>
          <cell r="G1091" t="str">
            <v>APPAREL INT QFZ</v>
          </cell>
          <cell r="H1091" t="str">
            <v>Mix</v>
          </cell>
        </row>
        <row r="1092">
          <cell r="B1092" t="str">
            <v>QFZ1138</v>
          </cell>
          <cell r="C1092">
            <v>110448</v>
          </cell>
          <cell r="D1092">
            <v>46240</v>
          </cell>
          <cell r="E1092">
            <v>46242</v>
          </cell>
          <cell r="F1092">
            <v>46242</v>
          </cell>
          <cell r="G1092" t="str">
            <v>APPAREL INT QFZ</v>
          </cell>
          <cell r="H1092" t="str">
            <v>Mix</v>
          </cell>
        </row>
        <row r="1093">
          <cell r="B1093" t="str">
            <v>QFZ1139</v>
          </cell>
          <cell r="C1093">
            <v>110444</v>
          </cell>
          <cell r="D1093">
            <v>46240</v>
          </cell>
          <cell r="E1093">
            <v>46242</v>
          </cell>
          <cell r="F1093">
            <v>46244</v>
          </cell>
          <cell r="G1093" t="str">
            <v>APPAREL INT QFZ</v>
          </cell>
          <cell r="H1093" t="str">
            <v>DP</v>
          </cell>
        </row>
        <row r="1094">
          <cell r="B1094" t="str">
            <v>QFZ1140</v>
          </cell>
          <cell r="C1094">
            <v>110447</v>
          </cell>
          <cell r="D1094">
            <v>46240</v>
          </cell>
          <cell r="E1094">
            <v>46242</v>
          </cell>
          <cell r="F1094">
            <v>46244</v>
          </cell>
          <cell r="G1094" t="str">
            <v>APPAREL INT QFZ</v>
          </cell>
          <cell r="H1094" t="str">
            <v>B&amp;M</v>
          </cell>
        </row>
        <row r="1095">
          <cell r="B1095" t="str">
            <v>QFZ1141</v>
          </cell>
          <cell r="C1095">
            <v>110475</v>
          </cell>
          <cell r="D1095">
            <v>46240</v>
          </cell>
          <cell r="E1095">
            <v>46242</v>
          </cell>
          <cell r="F1095">
            <v>46242</v>
          </cell>
          <cell r="G1095" t="str">
            <v>APPAREL INT QFZ</v>
          </cell>
          <cell r="H1095" t="str">
            <v>R&amp;B</v>
          </cell>
        </row>
        <row r="1096">
          <cell r="B1096" t="str">
            <v>QFZ1142</v>
          </cell>
          <cell r="C1096">
            <v>110474</v>
          </cell>
          <cell r="D1096">
            <v>46240</v>
          </cell>
          <cell r="E1096">
            <v>46242</v>
          </cell>
          <cell r="F1096">
            <v>46242</v>
          </cell>
          <cell r="G1096" t="str">
            <v>APPAREL INT QFZ</v>
          </cell>
          <cell r="H1096" t="str">
            <v>Mix</v>
          </cell>
        </row>
        <row r="1097">
          <cell r="B1097" t="str">
            <v>QFZ1143</v>
          </cell>
          <cell r="C1097">
            <v>110476</v>
          </cell>
          <cell r="D1097">
            <v>46240</v>
          </cell>
          <cell r="E1097">
            <v>46242</v>
          </cell>
          <cell r="F1097">
            <v>46243</v>
          </cell>
          <cell r="G1097" t="str">
            <v>APPAREL INT QFZ</v>
          </cell>
          <cell r="H1097" t="str">
            <v>BBZ</v>
          </cell>
        </row>
        <row r="1098">
          <cell r="B1098" t="str">
            <v>QFZ1144</v>
          </cell>
          <cell r="C1098">
            <v>110478</v>
          </cell>
          <cell r="D1098">
            <v>46240</v>
          </cell>
          <cell r="E1098">
            <v>46242</v>
          </cell>
          <cell r="F1098">
            <v>46243</v>
          </cell>
          <cell r="G1098" t="str">
            <v>APPAREL INT QFZ</v>
          </cell>
          <cell r="H1098" t="str">
            <v>Mix</v>
          </cell>
        </row>
        <row r="1099">
          <cell r="B1099" t="str">
            <v>QFZ1145</v>
          </cell>
          <cell r="C1099">
            <v>110477</v>
          </cell>
          <cell r="D1099">
            <v>46240</v>
          </cell>
          <cell r="E1099">
            <v>46242</v>
          </cell>
          <cell r="F1099">
            <v>46243</v>
          </cell>
          <cell r="G1099" t="str">
            <v>APPAREL INT QFZ</v>
          </cell>
          <cell r="H1099" t="str">
            <v>B&amp;M</v>
          </cell>
        </row>
        <row r="1100">
          <cell r="B1100" t="str">
            <v>QFZ1146</v>
          </cell>
          <cell r="C1100">
            <v>110582</v>
          </cell>
          <cell r="D1100">
            <v>46242</v>
          </cell>
          <cell r="E1100">
            <v>46243</v>
          </cell>
          <cell r="F1100">
            <v>46243</v>
          </cell>
          <cell r="G1100" t="str">
            <v>APPAREL INT QFZ</v>
          </cell>
          <cell r="H1100" t="str">
            <v>SM</v>
          </cell>
        </row>
        <row r="1101">
          <cell r="B1101" t="str">
            <v>QFZ1147</v>
          </cell>
          <cell r="C1101">
            <v>110574</v>
          </cell>
          <cell r="D1101">
            <v>46242</v>
          </cell>
          <cell r="E1101">
            <v>46243</v>
          </cell>
          <cell r="F1101">
            <v>46243</v>
          </cell>
          <cell r="G1101" t="str">
            <v>APPAREL INT QFZ</v>
          </cell>
          <cell r="H1101" t="str">
            <v>Mix</v>
          </cell>
        </row>
        <row r="1102">
          <cell r="B1102" t="str">
            <v>QFZ1148</v>
          </cell>
          <cell r="C1102">
            <v>110577</v>
          </cell>
          <cell r="D1102">
            <v>46242</v>
          </cell>
          <cell r="E1102">
            <v>46243</v>
          </cell>
          <cell r="F1102">
            <v>46243</v>
          </cell>
          <cell r="G1102" t="str">
            <v>APPAREL INT QFZ</v>
          </cell>
          <cell r="H1102" t="str">
            <v>Mix</v>
          </cell>
        </row>
        <row r="1103">
          <cell r="B1103" t="str">
            <v>QFZ1149</v>
          </cell>
          <cell r="C1103">
            <v>110578</v>
          </cell>
          <cell r="D1103">
            <v>46242</v>
          </cell>
          <cell r="E1103">
            <v>46243</v>
          </cell>
          <cell r="F1103">
            <v>46243</v>
          </cell>
          <cell r="G1103" t="str">
            <v>APPAREL INT QFZ</v>
          </cell>
          <cell r="H1103" t="str">
            <v>Mix</v>
          </cell>
        </row>
        <row r="1104">
          <cell r="B1104" t="str">
            <v>QFZ1150</v>
          </cell>
          <cell r="C1104">
            <v>110583</v>
          </cell>
          <cell r="D1104">
            <v>46242</v>
          </cell>
          <cell r="E1104">
            <v>46243</v>
          </cell>
          <cell r="F1104">
            <v>46244</v>
          </cell>
          <cell r="G1104" t="str">
            <v>APPAREL INT QFZ</v>
          </cell>
          <cell r="H1104" t="str">
            <v>BBZ</v>
          </cell>
        </row>
        <row r="1105">
          <cell r="B1105" t="str">
            <v>QFZ1151</v>
          </cell>
          <cell r="C1105">
            <v>110575</v>
          </cell>
          <cell r="D1105">
            <v>46246</v>
          </cell>
          <cell r="E1105">
            <v>46247</v>
          </cell>
          <cell r="F1105">
            <v>46249</v>
          </cell>
          <cell r="G1105" t="str">
            <v>APPAREL INT QFZ</v>
          </cell>
          <cell r="H1105" t="str">
            <v>LCW</v>
          </cell>
        </row>
        <row r="1106">
          <cell r="B1106" t="str">
            <v>QFZ1152</v>
          </cell>
          <cell r="C1106">
            <v>110576</v>
          </cell>
          <cell r="D1106">
            <v>46246</v>
          </cell>
          <cell r="E1106">
            <v>46247</v>
          </cell>
          <cell r="F1106">
            <v>46249</v>
          </cell>
          <cell r="G1106" t="str">
            <v>APPAREL INT QFZ</v>
          </cell>
          <cell r="H1106" t="str">
            <v>LCW</v>
          </cell>
        </row>
        <row r="1107">
          <cell r="B1107" t="str">
            <v>QFZ1153</v>
          </cell>
          <cell r="C1107">
            <v>110579</v>
          </cell>
          <cell r="D1107">
            <v>46242</v>
          </cell>
          <cell r="E1107">
            <v>46243</v>
          </cell>
          <cell r="F1107">
            <v>46243</v>
          </cell>
          <cell r="G1107" t="str">
            <v>APPAREL INT QFZ</v>
          </cell>
          <cell r="H1107" t="str">
            <v>R&amp;B</v>
          </cell>
        </row>
        <row r="1108">
          <cell r="B1108" t="str">
            <v>QFZ1154</v>
          </cell>
          <cell r="C1108">
            <v>110580</v>
          </cell>
          <cell r="D1108">
            <v>46242</v>
          </cell>
          <cell r="E1108">
            <v>46244</v>
          </cell>
          <cell r="F1108">
            <v>46247</v>
          </cell>
          <cell r="G1108" t="str">
            <v>APPAREL INT QFZ</v>
          </cell>
          <cell r="H1108" t="str">
            <v>B&amp;M</v>
          </cell>
        </row>
        <row r="1109">
          <cell r="B1109" t="str">
            <v>QFZ1155</v>
          </cell>
          <cell r="C1109">
            <v>110608</v>
          </cell>
          <cell r="D1109">
            <v>46243</v>
          </cell>
          <cell r="E1109">
            <v>46243</v>
          </cell>
          <cell r="F1109">
            <v>46244</v>
          </cell>
          <cell r="G1109" t="str">
            <v>APPAREL INT QFZ</v>
          </cell>
          <cell r="H1109" t="str">
            <v>Mix</v>
          </cell>
        </row>
        <row r="1110">
          <cell r="B1110" t="str">
            <v>QFZ1156</v>
          </cell>
          <cell r="C1110">
            <v>110609</v>
          </cell>
          <cell r="D1110">
            <v>46243</v>
          </cell>
          <cell r="E1110">
            <v>46243</v>
          </cell>
          <cell r="F1110">
            <v>46244</v>
          </cell>
          <cell r="G1110" t="str">
            <v>APPAREL INT QFZ</v>
          </cell>
          <cell r="H1110" t="str">
            <v>R&amp;B</v>
          </cell>
        </row>
        <row r="1111">
          <cell r="B1111" t="str">
            <v>QFZ1157</v>
          </cell>
          <cell r="C1111">
            <v>110610</v>
          </cell>
          <cell r="D1111">
            <v>46243</v>
          </cell>
          <cell r="E1111">
            <v>46243</v>
          </cell>
          <cell r="F1111">
            <v>46244</v>
          </cell>
          <cell r="G1111" t="str">
            <v>APPAREL INT QFZ</v>
          </cell>
          <cell r="H1111" t="str">
            <v>OFP</v>
          </cell>
        </row>
        <row r="1112">
          <cell r="B1112" t="str">
            <v>QFZ1158</v>
          </cell>
          <cell r="C1112" t="str">
            <v>APP30436</v>
          </cell>
          <cell r="D1112">
            <v>46239</v>
          </cell>
          <cell r="E1112">
            <v>46244</v>
          </cell>
          <cell r="F1112">
            <v>46246</v>
          </cell>
          <cell r="G1112" t="str">
            <v>APPAREL INT QFZ</v>
          </cell>
          <cell r="H1112" t="str">
            <v>NY</v>
          </cell>
        </row>
        <row r="1113">
          <cell r="B1113" t="str">
            <v>QFZ1159</v>
          </cell>
          <cell r="C1113">
            <v>110581</v>
          </cell>
          <cell r="D1113">
            <v>46242</v>
          </cell>
          <cell r="E1113">
            <v>46245</v>
          </cell>
          <cell r="F1113">
            <v>46246</v>
          </cell>
          <cell r="G1113" t="str">
            <v>APPAREL INT QFZ</v>
          </cell>
          <cell r="H1113" t="str">
            <v>DP</v>
          </cell>
        </row>
        <row r="1114">
          <cell r="B1114" t="str">
            <v>QFZ1160</v>
          </cell>
          <cell r="C1114">
            <v>110633</v>
          </cell>
          <cell r="D1114">
            <v>46243</v>
          </cell>
          <cell r="E1114">
            <v>46244</v>
          </cell>
          <cell r="F1114">
            <v>46244</v>
          </cell>
          <cell r="G1114" t="str">
            <v>APPAREL INT QFZ</v>
          </cell>
          <cell r="H1114" t="str">
            <v>Mix</v>
          </cell>
        </row>
        <row r="1115">
          <cell r="B1115" t="str">
            <v>QFZ1161</v>
          </cell>
          <cell r="C1115">
            <v>110636</v>
          </cell>
          <cell r="D1115">
            <v>46243</v>
          </cell>
          <cell r="E1115">
            <v>46244</v>
          </cell>
          <cell r="F1115">
            <v>46244</v>
          </cell>
          <cell r="G1115" t="str">
            <v>APPAREL INT QFZ</v>
          </cell>
          <cell r="H1115" t="str">
            <v>ADI</v>
          </cell>
        </row>
        <row r="1116">
          <cell r="B1116" t="str">
            <v>QFZ1162</v>
          </cell>
          <cell r="C1116">
            <v>110634</v>
          </cell>
          <cell r="D1116">
            <v>46243</v>
          </cell>
          <cell r="E1116">
            <v>46244</v>
          </cell>
          <cell r="F1116">
            <v>46244</v>
          </cell>
          <cell r="G1116" t="str">
            <v>APPAREL INT QFZ</v>
          </cell>
          <cell r="H1116" t="str">
            <v>R&amp;B</v>
          </cell>
        </row>
        <row r="1117">
          <cell r="B1117" t="str">
            <v>QFZ1163</v>
          </cell>
          <cell r="C1117">
            <v>110635</v>
          </cell>
          <cell r="D1117">
            <v>46243</v>
          </cell>
          <cell r="E1117">
            <v>46244</v>
          </cell>
          <cell r="F1117">
            <v>46245</v>
          </cell>
          <cell r="G1117" t="str">
            <v>APPAREL INT QFZ</v>
          </cell>
          <cell r="H1117" t="str">
            <v>B&amp;M</v>
          </cell>
        </row>
        <row r="1118">
          <cell r="B1118" t="str">
            <v>QFZ1164</v>
          </cell>
          <cell r="C1118">
            <v>110650</v>
          </cell>
          <cell r="D1118">
            <v>46244</v>
          </cell>
          <cell r="E1118">
            <v>46244</v>
          </cell>
          <cell r="F1118">
            <v>46244</v>
          </cell>
          <cell r="G1118" t="str">
            <v>APPAREL INT QFZ</v>
          </cell>
          <cell r="H1118" t="str">
            <v>Mix</v>
          </cell>
        </row>
        <row r="1119">
          <cell r="B1119" t="str">
            <v>QFZ1165</v>
          </cell>
          <cell r="C1119">
            <v>110651</v>
          </cell>
          <cell r="D1119">
            <v>46244</v>
          </cell>
          <cell r="E1119">
            <v>46244</v>
          </cell>
          <cell r="F1119">
            <v>46245</v>
          </cell>
          <cell r="G1119" t="str">
            <v>APPAREL INT QFZ</v>
          </cell>
          <cell r="H1119" t="str">
            <v>Mix</v>
          </cell>
        </row>
        <row r="1120">
          <cell r="B1120" t="str">
            <v>QFZ1166</v>
          </cell>
          <cell r="C1120">
            <v>110653</v>
          </cell>
          <cell r="D1120">
            <v>46244</v>
          </cell>
          <cell r="E1120">
            <v>46244</v>
          </cell>
          <cell r="F1120">
            <v>46245</v>
          </cell>
          <cell r="G1120" t="str">
            <v>APPAREL INT QFZ</v>
          </cell>
          <cell r="H1120" t="str">
            <v>R&amp;B</v>
          </cell>
        </row>
        <row r="1121">
          <cell r="B1121" t="str">
            <v>QFZ1167</v>
          </cell>
          <cell r="C1121">
            <v>110694</v>
          </cell>
          <cell r="D1121">
            <v>46244</v>
          </cell>
          <cell r="E1121">
            <v>46245</v>
          </cell>
          <cell r="F1121">
            <v>46245</v>
          </cell>
          <cell r="G1121" t="str">
            <v>APPAREL INT QFZ</v>
          </cell>
          <cell r="H1121" t="str">
            <v>BBZ</v>
          </cell>
        </row>
        <row r="1122">
          <cell r="B1122" t="str">
            <v>QFZ1168</v>
          </cell>
          <cell r="C1122">
            <v>110692</v>
          </cell>
          <cell r="D1122">
            <v>46244</v>
          </cell>
          <cell r="E1122">
            <v>46245</v>
          </cell>
          <cell r="F1122">
            <v>46245</v>
          </cell>
          <cell r="G1122" t="str">
            <v>APPAREL INT QFZ</v>
          </cell>
          <cell r="H1122" t="str">
            <v>R&amp;B</v>
          </cell>
        </row>
        <row r="1123">
          <cell r="B1123" t="str">
            <v>QFZ1169</v>
          </cell>
          <cell r="C1123">
            <v>110695</v>
          </cell>
          <cell r="D1123">
            <v>46244</v>
          </cell>
          <cell r="E1123">
            <v>46245</v>
          </cell>
          <cell r="F1123">
            <v>46245</v>
          </cell>
          <cell r="G1123" t="str">
            <v>APPAREL INT QFZ</v>
          </cell>
          <cell r="H1123" t="str">
            <v>ADI</v>
          </cell>
        </row>
        <row r="1124">
          <cell r="B1124" t="str">
            <v>QFZ1170</v>
          </cell>
          <cell r="C1124">
            <v>110696</v>
          </cell>
          <cell r="D1124">
            <v>46244</v>
          </cell>
          <cell r="E1124">
            <v>46245</v>
          </cell>
          <cell r="F1124">
            <v>46245</v>
          </cell>
          <cell r="G1124" t="str">
            <v>APPAREL INT QFZ</v>
          </cell>
          <cell r="H1124" t="str">
            <v>B&amp;M , HOKA</v>
          </cell>
        </row>
        <row r="1125">
          <cell r="B1125" t="str">
            <v>QFZ1171</v>
          </cell>
          <cell r="C1125">
            <v>110697</v>
          </cell>
          <cell r="D1125">
            <v>46244</v>
          </cell>
          <cell r="E1125">
            <v>46245</v>
          </cell>
          <cell r="F1125">
            <v>46245</v>
          </cell>
          <cell r="G1125" t="str">
            <v>APPAREL INT QFZ</v>
          </cell>
          <cell r="H1125" t="str">
            <v>Mix</v>
          </cell>
        </row>
        <row r="1126">
          <cell r="B1126" t="str">
            <v>QFZ1172</v>
          </cell>
          <cell r="C1126">
            <v>110698</v>
          </cell>
          <cell r="D1126">
            <v>46244</v>
          </cell>
          <cell r="E1126">
            <v>46246</v>
          </cell>
          <cell r="F1126">
            <v>46247</v>
          </cell>
          <cell r="G1126" t="str">
            <v>APPAREL INT QFZ</v>
          </cell>
          <cell r="H1126" t="str">
            <v>DP</v>
          </cell>
        </row>
        <row r="1127">
          <cell r="B1127" t="str">
            <v>QFZ1173</v>
          </cell>
          <cell r="C1127">
            <v>110722</v>
          </cell>
          <cell r="D1127">
            <v>46245</v>
          </cell>
          <cell r="E1127">
            <v>46245</v>
          </cell>
          <cell r="F1127">
            <v>46245</v>
          </cell>
          <cell r="G1127" t="str">
            <v>APPAREL INT QFZ</v>
          </cell>
          <cell r="H1127" t="str">
            <v>Mix</v>
          </cell>
        </row>
        <row r="1128">
          <cell r="B1128" t="str">
            <v>QFZ1174</v>
          </cell>
          <cell r="C1128">
            <v>110703</v>
          </cell>
          <cell r="D1128">
            <v>46245</v>
          </cell>
          <cell r="E1128">
            <v>46245</v>
          </cell>
          <cell r="F1128">
            <v>46245</v>
          </cell>
          <cell r="G1128" t="str">
            <v>APPAREL INT QFZ</v>
          </cell>
          <cell r="H1128" t="str">
            <v>ASICS</v>
          </cell>
        </row>
        <row r="1129">
          <cell r="B1129" t="str">
            <v>QFZ1175</v>
          </cell>
          <cell r="C1129">
            <v>110702</v>
          </cell>
          <cell r="D1129">
            <v>46245</v>
          </cell>
          <cell r="E1129">
            <v>46245</v>
          </cell>
          <cell r="G1129" t="str">
            <v>APPAREL INT QFZ</v>
          </cell>
          <cell r="H1129" t="str">
            <v>ASICS</v>
          </cell>
        </row>
        <row r="1130">
          <cell r="B1130" t="str">
            <v>QFZ1176</v>
          </cell>
          <cell r="C1130">
            <v>110725</v>
          </cell>
          <cell r="D1130">
            <v>46245</v>
          </cell>
          <cell r="E1130">
            <v>46245</v>
          </cell>
          <cell r="F1130">
            <v>46249</v>
          </cell>
          <cell r="G1130" t="str">
            <v>APPAREL INT QFZ</v>
          </cell>
          <cell r="H1130" t="str">
            <v>B&amp;M</v>
          </cell>
        </row>
        <row r="1131">
          <cell r="B1131" t="str">
            <v>QFZ1177</v>
          </cell>
          <cell r="C1131">
            <v>110704</v>
          </cell>
          <cell r="D1131">
            <v>46245</v>
          </cell>
          <cell r="E1131">
            <v>46246</v>
          </cell>
          <cell r="F1131">
            <v>46247</v>
          </cell>
          <cell r="G1131" t="str">
            <v>APPAREL INT QFZ</v>
          </cell>
          <cell r="H1131" t="str">
            <v>DP</v>
          </cell>
        </row>
        <row r="1132">
          <cell r="B1132" t="str">
            <v>QFZ1178</v>
          </cell>
          <cell r="C1132">
            <v>110746</v>
          </cell>
          <cell r="D1132">
            <v>46245</v>
          </cell>
          <cell r="E1132">
            <v>46246</v>
          </cell>
          <cell r="F1132">
            <v>46246</v>
          </cell>
          <cell r="G1132" t="str">
            <v>APPAREL INT QFZ</v>
          </cell>
          <cell r="H1132" t="str">
            <v>Mix</v>
          </cell>
        </row>
        <row r="1133">
          <cell r="B1133" t="str">
            <v>QFZ1179</v>
          </cell>
          <cell r="C1133">
            <v>110747</v>
          </cell>
          <cell r="D1133">
            <v>46245</v>
          </cell>
          <cell r="E1133">
            <v>46246</v>
          </cell>
          <cell r="F1133">
            <v>46246</v>
          </cell>
          <cell r="G1133" t="str">
            <v>APPAREL INT QFZ</v>
          </cell>
          <cell r="H1133" t="str">
            <v>R&amp;B</v>
          </cell>
        </row>
        <row r="1134">
          <cell r="B1134" t="str">
            <v>QFZ1180</v>
          </cell>
          <cell r="C1134">
            <v>110748</v>
          </cell>
          <cell r="D1134">
            <v>46245</v>
          </cell>
          <cell r="E1134">
            <v>46246</v>
          </cell>
          <cell r="F1134">
            <v>46246</v>
          </cell>
          <cell r="G1134" t="str">
            <v>APPAREL INT QFZ</v>
          </cell>
          <cell r="H1134" t="str">
            <v>BBZ</v>
          </cell>
        </row>
        <row r="1135">
          <cell r="B1135" t="str">
            <v>QFZ1181</v>
          </cell>
          <cell r="C1135">
            <v>110771</v>
          </cell>
          <cell r="D1135">
            <v>46246</v>
          </cell>
          <cell r="E1135">
            <v>46246</v>
          </cell>
          <cell r="F1135">
            <v>46247</v>
          </cell>
          <cell r="G1135" t="str">
            <v>APPAREL INT QFZ</v>
          </cell>
          <cell r="H1135" t="str">
            <v>Mix</v>
          </cell>
        </row>
        <row r="1136">
          <cell r="B1136" t="str">
            <v>QFZ1182</v>
          </cell>
          <cell r="C1136">
            <v>110772</v>
          </cell>
          <cell r="D1136">
            <v>46246</v>
          </cell>
          <cell r="E1136">
            <v>46246</v>
          </cell>
          <cell r="F1136">
            <v>46247</v>
          </cell>
          <cell r="G1136" t="str">
            <v>APPAREL INT QFZ</v>
          </cell>
          <cell r="H1136" t="str">
            <v>Mix</v>
          </cell>
        </row>
        <row r="1137">
          <cell r="B1137" t="str">
            <v>QFZ1183</v>
          </cell>
          <cell r="C1137">
            <v>110773</v>
          </cell>
          <cell r="D1137">
            <v>46246</v>
          </cell>
          <cell r="E1137">
            <v>46246</v>
          </cell>
          <cell r="F1137">
            <v>46247</v>
          </cell>
          <cell r="G1137" t="str">
            <v>APPAREL INT QFZ</v>
          </cell>
          <cell r="H1137" t="str">
            <v>ADI</v>
          </cell>
        </row>
        <row r="1138">
          <cell r="B1138" t="str">
            <v>QFZ1184</v>
          </cell>
          <cell r="C1138">
            <v>110775</v>
          </cell>
          <cell r="D1138">
            <v>46246</v>
          </cell>
          <cell r="E1138">
            <v>46246</v>
          </cell>
          <cell r="F1138">
            <v>46247</v>
          </cell>
          <cell r="G1138" t="str">
            <v>APPAREL INT QFZ</v>
          </cell>
          <cell r="H1138" t="str">
            <v>R&amp;B</v>
          </cell>
        </row>
        <row r="1139">
          <cell r="B1139" t="str">
            <v>QFZ1185</v>
          </cell>
          <cell r="C1139">
            <v>110751</v>
          </cell>
          <cell r="D1139">
            <v>46246</v>
          </cell>
          <cell r="E1139">
            <v>46246</v>
          </cell>
          <cell r="F1139">
            <v>46247</v>
          </cell>
          <cell r="G1139" t="str">
            <v>APPAREL INT QFZ</v>
          </cell>
          <cell r="H1139" t="str">
            <v>R&amp;B</v>
          </cell>
        </row>
        <row r="1140">
          <cell r="B1140" t="str">
            <v>QFZ1186</v>
          </cell>
          <cell r="C1140">
            <v>110752</v>
          </cell>
          <cell r="D1140">
            <v>46246</v>
          </cell>
          <cell r="E1140">
            <v>46247</v>
          </cell>
          <cell r="F1140">
            <v>46249</v>
          </cell>
          <cell r="G1140" t="str">
            <v>APPAREL INT QFZ</v>
          </cell>
          <cell r="H1140" t="str">
            <v>DP</v>
          </cell>
        </row>
        <row r="1141">
          <cell r="B1141" t="str">
            <v>QFZ1187</v>
          </cell>
          <cell r="C1141">
            <v>110823</v>
          </cell>
          <cell r="D1141">
            <v>46246</v>
          </cell>
          <cell r="E1141">
            <v>46247</v>
          </cell>
          <cell r="G1141" t="str">
            <v>APPAREL INT QFZ</v>
          </cell>
          <cell r="H1141" t="str">
            <v>Mix</v>
          </cell>
        </row>
        <row r="1142">
          <cell r="B1142" t="str">
            <v>QFZ1188</v>
          </cell>
          <cell r="C1142">
            <v>110824</v>
          </cell>
          <cell r="D1142">
            <v>46246</v>
          </cell>
          <cell r="E1142">
            <v>46247</v>
          </cell>
          <cell r="F1142">
            <v>46250</v>
          </cell>
          <cell r="G1142" t="str">
            <v>APPAREL INT QFZ</v>
          </cell>
          <cell r="H1142" t="str">
            <v>B&amp;M</v>
          </cell>
        </row>
        <row r="1143">
          <cell r="B1143" t="str">
            <v>QFZ1189</v>
          </cell>
          <cell r="C1143">
            <v>110828</v>
          </cell>
          <cell r="D1143">
            <v>46246</v>
          </cell>
          <cell r="E1143">
            <v>46247</v>
          </cell>
          <cell r="G1143" t="str">
            <v>APPAREL INT QFZ</v>
          </cell>
          <cell r="H1143" t="str">
            <v>Mix</v>
          </cell>
        </row>
        <row r="1144">
          <cell r="B1144" t="str">
            <v>QFZ1190</v>
          </cell>
          <cell r="C1144">
            <v>110860</v>
          </cell>
          <cell r="D1144">
            <v>46247</v>
          </cell>
          <cell r="E1144">
            <v>46247</v>
          </cell>
          <cell r="F1144">
            <v>46247</v>
          </cell>
          <cell r="G1144" t="str">
            <v>APPAREL INT QFZ</v>
          </cell>
          <cell r="H1144" t="str">
            <v>Mix</v>
          </cell>
        </row>
        <row r="1145">
          <cell r="B1145" t="str">
            <v>QFZ1191</v>
          </cell>
          <cell r="C1145">
            <v>110861</v>
          </cell>
          <cell r="D1145">
            <v>46247</v>
          </cell>
          <cell r="E1145">
            <v>46247</v>
          </cell>
          <cell r="F1145">
            <v>46247</v>
          </cell>
          <cell r="G1145" t="str">
            <v>APPAREL INT QFZ</v>
          </cell>
          <cell r="H1145" t="str">
            <v>Mix</v>
          </cell>
        </row>
        <row r="1146">
          <cell r="B1146" t="str">
            <v>QFZ1192</v>
          </cell>
          <cell r="C1146">
            <v>110863</v>
          </cell>
          <cell r="D1146">
            <v>46247</v>
          </cell>
          <cell r="E1146">
            <v>46247</v>
          </cell>
          <cell r="F1146">
            <v>46247</v>
          </cell>
          <cell r="G1146" t="str">
            <v>APPAREL INT QFZ</v>
          </cell>
          <cell r="H1146" t="str">
            <v>R&amp;B</v>
          </cell>
        </row>
        <row r="1147">
          <cell r="B1147" t="str">
            <v>QFZ1193</v>
          </cell>
          <cell r="C1147">
            <v>110874</v>
          </cell>
          <cell r="D1147">
            <v>46247</v>
          </cell>
          <cell r="E1147">
            <v>46247</v>
          </cell>
          <cell r="F1147">
            <v>46249</v>
          </cell>
          <cell r="G1147" t="str">
            <v>APPAREL INT QFZ</v>
          </cell>
          <cell r="H1147" t="str">
            <v>OFP</v>
          </cell>
        </row>
        <row r="1148">
          <cell r="B1148" t="str">
            <v>QFZ1194</v>
          </cell>
          <cell r="C1148">
            <v>110864</v>
          </cell>
          <cell r="D1148">
            <v>46247</v>
          </cell>
          <cell r="E1148">
            <v>46247</v>
          </cell>
          <cell r="F1148">
            <v>46249</v>
          </cell>
          <cell r="G1148" t="str">
            <v>APPAREL INT QFZ</v>
          </cell>
          <cell r="H1148" t="str">
            <v>BBZ</v>
          </cell>
        </row>
        <row r="1149">
          <cell r="B1149" t="str">
            <v>QFZ1195</v>
          </cell>
          <cell r="C1149">
            <v>110866</v>
          </cell>
          <cell r="D1149">
            <v>46247</v>
          </cell>
          <cell r="E1149">
            <v>46247</v>
          </cell>
          <cell r="F1149">
            <v>46250</v>
          </cell>
          <cell r="G1149" t="str">
            <v>APPAREL INT QFZ</v>
          </cell>
          <cell r="H1149" t="str">
            <v>B&amp;M</v>
          </cell>
        </row>
        <row r="1150">
          <cell r="B1150" t="str">
            <v>QFZ1196</v>
          </cell>
          <cell r="C1150">
            <v>110868</v>
          </cell>
          <cell r="D1150">
            <v>46247</v>
          </cell>
          <cell r="E1150">
            <v>46247</v>
          </cell>
          <cell r="F1150">
            <v>46250</v>
          </cell>
          <cell r="G1150" t="str">
            <v>APPAREL INT QFZ</v>
          </cell>
          <cell r="H1150" t="str">
            <v>DP</v>
          </cell>
        </row>
        <row r="1151">
          <cell r="B1151" t="str">
            <v>QFZ1197</v>
          </cell>
          <cell r="C1151">
            <v>110897</v>
          </cell>
          <cell r="D1151">
            <v>46247</v>
          </cell>
          <cell r="E1151">
            <v>46249</v>
          </cell>
          <cell r="F1151">
            <v>46249</v>
          </cell>
          <cell r="G1151" t="str">
            <v>APPAREL INT QFZ</v>
          </cell>
          <cell r="H1151" t="str">
            <v>Mix</v>
          </cell>
        </row>
        <row r="1152">
          <cell r="B1152" t="str">
            <v>QFZ1198</v>
          </cell>
          <cell r="C1152">
            <v>110899</v>
          </cell>
          <cell r="D1152">
            <v>46247</v>
          </cell>
          <cell r="E1152">
            <v>46249</v>
          </cell>
          <cell r="F1152">
            <v>46249</v>
          </cell>
          <cell r="G1152" t="str">
            <v>APPAREL INT QFZ</v>
          </cell>
          <cell r="H1152" t="str">
            <v>R&amp;B</v>
          </cell>
        </row>
        <row r="1153">
          <cell r="B1153" t="str">
            <v>QFZ1199</v>
          </cell>
          <cell r="C1153">
            <v>110961</v>
          </cell>
          <cell r="D1153">
            <v>46248</v>
          </cell>
          <cell r="E1153">
            <v>46249</v>
          </cell>
          <cell r="G1153" t="str">
            <v>APPAREL INT QFZ</v>
          </cell>
          <cell r="H1153" t="str">
            <v>SM</v>
          </cell>
        </row>
        <row r="1154">
          <cell r="B1154" t="str">
            <v>QFZ1200</v>
          </cell>
          <cell r="C1154">
            <v>110960</v>
          </cell>
          <cell r="D1154">
            <v>46248</v>
          </cell>
          <cell r="E1154">
            <v>46249</v>
          </cell>
          <cell r="F1154">
            <v>46249</v>
          </cell>
          <cell r="G1154" t="str">
            <v>APPAREL INT QFZ</v>
          </cell>
          <cell r="H1154" t="str">
            <v>R&amp;B</v>
          </cell>
        </row>
        <row r="1155">
          <cell r="B1155" t="str">
            <v>QFZ1201</v>
          </cell>
          <cell r="C1155">
            <v>110922</v>
          </cell>
          <cell r="D1155">
            <v>46248</v>
          </cell>
          <cell r="E1155">
            <v>46249</v>
          </cell>
          <cell r="F1155">
            <v>46249</v>
          </cell>
          <cell r="G1155" t="str">
            <v>APPAREL INT QFZ</v>
          </cell>
          <cell r="H1155" t="str">
            <v>Mix</v>
          </cell>
        </row>
        <row r="1156">
          <cell r="B1156" t="str">
            <v>QFZ1202</v>
          </cell>
          <cell r="C1156">
            <v>111017</v>
          </cell>
          <cell r="D1156">
            <v>46249</v>
          </cell>
          <cell r="E1156">
            <v>46250</v>
          </cell>
          <cell r="F1156">
            <v>46250</v>
          </cell>
          <cell r="G1156" t="str">
            <v>APPAREL INT QFZ</v>
          </cell>
          <cell r="H1156" t="str">
            <v>SM</v>
          </cell>
        </row>
        <row r="1157">
          <cell r="B1157" t="str">
            <v>QFZ1203</v>
          </cell>
          <cell r="C1157">
            <v>111013</v>
          </cell>
          <cell r="D1157">
            <v>46249</v>
          </cell>
          <cell r="E1157">
            <v>46250</v>
          </cell>
          <cell r="F1157">
            <v>46250</v>
          </cell>
          <cell r="G1157" t="str">
            <v>APPAREL INT QFZ</v>
          </cell>
          <cell r="H1157" t="str">
            <v>R&amp;B</v>
          </cell>
        </row>
        <row r="1158">
          <cell r="B1158" t="str">
            <v>QFZ1204</v>
          </cell>
          <cell r="C1158">
            <v>111010</v>
          </cell>
          <cell r="D1158">
            <v>46249</v>
          </cell>
          <cell r="E1158">
            <v>46250</v>
          </cell>
          <cell r="F1158">
            <v>46250</v>
          </cell>
          <cell r="G1158" t="str">
            <v>APPAREL INT QFZ</v>
          </cell>
          <cell r="H1158" t="str">
            <v>Mix</v>
          </cell>
        </row>
        <row r="1159">
          <cell r="B1159" t="str">
            <v>QFZ1205</v>
          </cell>
          <cell r="C1159">
            <v>111011</v>
          </cell>
          <cell r="D1159">
            <v>46249</v>
          </cell>
          <cell r="E1159">
            <v>46250</v>
          </cell>
          <cell r="F1159">
            <v>46250</v>
          </cell>
          <cell r="G1159" t="str">
            <v>APPAREL INT QFZ</v>
          </cell>
          <cell r="H1159" t="str">
            <v>LCW</v>
          </cell>
        </row>
        <row r="1160">
          <cell r="B1160" t="str">
            <v>QFZ1206</v>
          </cell>
          <cell r="C1160">
            <v>111012</v>
          </cell>
          <cell r="D1160">
            <v>46249</v>
          </cell>
          <cell r="E1160">
            <v>46250</v>
          </cell>
          <cell r="F1160">
            <v>46250</v>
          </cell>
          <cell r="G1160" t="str">
            <v>APPAREL INT QFZ</v>
          </cell>
          <cell r="H1160" t="str">
            <v>Mix</v>
          </cell>
        </row>
        <row r="1161">
          <cell r="B1161" t="str">
            <v>QFZ1207</v>
          </cell>
          <cell r="C1161">
            <v>111014</v>
          </cell>
          <cell r="D1161">
            <v>46249</v>
          </cell>
          <cell r="E1161">
            <v>46250</v>
          </cell>
          <cell r="F1161">
            <v>46250</v>
          </cell>
          <cell r="G1161" t="str">
            <v>APPAREL INT QFZ</v>
          </cell>
          <cell r="H1161" t="str">
            <v>OFP</v>
          </cell>
        </row>
        <row r="1162">
          <cell r="B1162" t="str">
            <v>QFZ1208</v>
          </cell>
          <cell r="C1162">
            <v>111015</v>
          </cell>
          <cell r="D1162">
            <v>46249</v>
          </cell>
          <cell r="E1162">
            <v>46250</v>
          </cell>
          <cell r="G1162" t="str">
            <v>APPAREL INT QFZ</v>
          </cell>
          <cell r="H1162" t="str">
            <v>BBZ</v>
          </cell>
        </row>
        <row r="1163">
          <cell r="B1163" t="str">
            <v>QFZ1209</v>
          </cell>
          <cell r="C1163">
            <v>111016</v>
          </cell>
          <cell r="D1163">
            <v>46249</v>
          </cell>
          <cell r="E1163">
            <v>46250</v>
          </cell>
          <cell r="F1163">
            <v>46251</v>
          </cell>
          <cell r="G1163" t="str">
            <v>APPAREL INT QFZ</v>
          </cell>
          <cell r="H1163" t="str">
            <v>B&amp;M</v>
          </cell>
        </row>
        <row r="1164">
          <cell r="B1164" t="str">
            <v>QFZ1210</v>
          </cell>
          <cell r="C1164">
            <v>111034</v>
          </cell>
          <cell r="D1164">
            <v>46250</v>
          </cell>
          <cell r="E1164">
            <v>46250</v>
          </cell>
          <cell r="F1164">
            <v>46250</v>
          </cell>
          <cell r="G1164" t="str">
            <v>APPAREL INT QFZ</v>
          </cell>
          <cell r="H1164" t="str">
            <v>Mix</v>
          </cell>
        </row>
        <row r="1165">
          <cell r="B1165" t="str">
            <v>QFZ1211</v>
          </cell>
          <cell r="C1165">
            <v>111035</v>
          </cell>
          <cell r="D1165">
            <v>46250</v>
          </cell>
          <cell r="E1165">
            <v>46250</v>
          </cell>
          <cell r="F1165">
            <v>46250</v>
          </cell>
          <cell r="G1165" t="str">
            <v>APPAREL INT QFZ</v>
          </cell>
          <cell r="H1165" t="str">
            <v>Mix</v>
          </cell>
        </row>
        <row r="1166">
          <cell r="B1166" t="str">
            <v>QFZ1212</v>
          </cell>
          <cell r="C1166">
            <v>111037</v>
          </cell>
          <cell r="D1166">
            <v>46250</v>
          </cell>
          <cell r="E1166">
            <v>46250</v>
          </cell>
          <cell r="F1166">
            <v>46251</v>
          </cell>
          <cell r="G1166" t="str">
            <v>APPAREL INT QFZ</v>
          </cell>
          <cell r="H1166" t="str">
            <v>R&amp;B</v>
          </cell>
        </row>
        <row r="1167">
          <cell r="B1167" t="str">
            <v>QFZ1213</v>
          </cell>
          <cell r="C1167">
            <v>111018</v>
          </cell>
          <cell r="D1167">
            <v>46250</v>
          </cell>
          <cell r="E1167">
            <v>46250</v>
          </cell>
          <cell r="F1167">
            <v>46251</v>
          </cell>
          <cell r="G1167" t="str">
            <v>APPAREL INT QFZ</v>
          </cell>
          <cell r="H1167" t="str">
            <v>DP</v>
          </cell>
        </row>
        <row r="1168">
          <cell r="B1168" t="str">
            <v>QFZ1214</v>
          </cell>
          <cell r="C1168">
            <v>111050</v>
          </cell>
          <cell r="D1168">
            <v>46250</v>
          </cell>
          <cell r="E1168">
            <v>46251</v>
          </cell>
          <cell r="G1168" t="str">
            <v>APPAREL INT QFZ</v>
          </cell>
          <cell r="H1168" t="str">
            <v>OFP</v>
          </cell>
        </row>
        <row r="1169">
          <cell r="B1169" t="str">
            <v>QFZ1215</v>
          </cell>
          <cell r="C1169">
            <v>111052</v>
          </cell>
          <cell r="D1169">
            <v>46250</v>
          </cell>
          <cell r="E1169">
            <v>46251</v>
          </cell>
          <cell r="G1169" t="str">
            <v>APPAREL INT QFZ</v>
          </cell>
          <cell r="H1169" t="str">
            <v>OFP</v>
          </cell>
        </row>
        <row r="1170">
          <cell r="B1170" t="str">
            <v>QFZ1216</v>
          </cell>
          <cell r="C1170">
            <v>111112</v>
          </cell>
          <cell r="D1170">
            <v>46251</v>
          </cell>
          <cell r="E1170">
            <v>46251</v>
          </cell>
          <cell r="G1170" t="str">
            <v>APPAREL INT QFZ</v>
          </cell>
          <cell r="H1170" t="str">
            <v>Mix</v>
          </cell>
        </row>
        <row r="1171">
          <cell r="B1171" t="str">
            <v>QFZ1217</v>
          </cell>
          <cell r="C1171">
            <v>111116</v>
          </cell>
          <cell r="D1171">
            <v>46251</v>
          </cell>
          <cell r="E1171">
            <v>46251</v>
          </cell>
          <cell r="F1171">
            <v>46251</v>
          </cell>
          <cell r="G1171" t="str">
            <v>APPAREL INT QFZ</v>
          </cell>
          <cell r="H1171" t="str">
            <v>Mix</v>
          </cell>
        </row>
        <row r="1172">
          <cell r="B1172" t="str">
            <v>QFZ1218</v>
          </cell>
          <cell r="C1172">
            <v>111118</v>
          </cell>
          <cell r="D1172">
            <v>46251</v>
          </cell>
          <cell r="E1172">
            <v>46251</v>
          </cell>
          <cell r="F1172">
            <v>46251</v>
          </cell>
          <cell r="G1172" t="str">
            <v>APPAREL INT QFZ</v>
          </cell>
          <cell r="H1172" t="str">
            <v>R&amp;B</v>
          </cell>
        </row>
        <row r="1173">
          <cell r="B1173" t="str">
            <v>QFZ1219</v>
          </cell>
          <cell r="C1173">
            <v>111119</v>
          </cell>
          <cell r="D1173">
            <v>46251</v>
          </cell>
          <cell r="E1173">
            <v>46251</v>
          </cell>
          <cell r="G1173" t="str">
            <v>APPAREL INT QFZ</v>
          </cell>
          <cell r="H1173" t="str">
            <v>B&amp;M</v>
          </cell>
        </row>
        <row r="1174">
          <cell r="B1174" t="str">
            <v>QFZ1220</v>
          </cell>
          <cell r="C1174" t="str">
            <v>APP30620</v>
          </cell>
          <cell r="D1174">
            <v>46251</v>
          </cell>
          <cell r="G1174" t="str">
            <v>APPAREL INT QFZ</v>
          </cell>
          <cell r="H1174" t="str">
            <v>NY</v>
          </cell>
        </row>
        <row r="1175">
          <cell r="B1175" t="str">
            <v>QFZ1221</v>
          </cell>
          <cell r="C1175" t="str">
            <v>APP30680</v>
          </cell>
          <cell r="D1175">
            <v>46251</v>
          </cell>
          <cell r="G1175" t="str">
            <v>APPAREL INT QFZ</v>
          </cell>
          <cell r="H1175" t="str">
            <v>NY</v>
          </cell>
        </row>
        <row r="1176">
          <cell r="B1176" t="str">
            <v>QFZ1222</v>
          </cell>
          <cell r="C1176">
            <v>111215</v>
          </cell>
          <cell r="D1176">
            <v>46252</v>
          </cell>
          <cell r="E1176">
            <v>46252</v>
          </cell>
          <cell r="G1176" t="str">
            <v>APPAREL INT QFZ</v>
          </cell>
          <cell r="H1176" t="str">
            <v>Mix</v>
          </cell>
        </row>
        <row r="1177">
          <cell r="B1177" t="str">
            <v>QFZ1223</v>
          </cell>
          <cell r="C1177">
            <v>111216</v>
          </cell>
          <cell r="D1177">
            <v>46252</v>
          </cell>
          <cell r="E1177">
            <v>46252</v>
          </cell>
          <cell r="G1177" t="str">
            <v>APPAREL INT QFZ</v>
          </cell>
          <cell r="H1177" t="str">
            <v>R&amp;B</v>
          </cell>
        </row>
        <row r="1178">
          <cell r="B1178" t="str">
            <v>QFZ1224</v>
          </cell>
          <cell r="C1178">
            <v>111223</v>
          </cell>
          <cell r="D1178">
            <v>46252</v>
          </cell>
          <cell r="E1178">
            <v>46252</v>
          </cell>
          <cell r="G1178" t="str">
            <v>APPAREL INT QFZ</v>
          </cell>
          <cell r="H1178" t="str">
            <v>Mix</v>
          </cell>
        </row>
        <row r="1179">
          <cell r="B1179" t="str">
            <v>QFZ1225</v>
          </cell>
          <cell r="C1179">
            <v>111217</v>
          </cell>
          <cell r="D1179">
            <v>46252</v>
          </cell>
          <cell r="E1179">
            <v>46252</v>
          </cell>
          <cell r="G1179" t="str">
            <v>APPAREL INT QFZ</v>
          </cell>
          <cell r="H1179" t="str">
            <v>BBZ</v>
          </cell>
        </row>
        <row r="1180">
          <cell r="B1180" t="str">
            <v>QFZ1226</v>
          </cell>
          <cell r="C1180">
            <v>111218</v>
          </cell>
          <cell r="D1180">
            <v>46252</v>
          </cell>
          <cell r="E1180">
            <v>46252</v>
          </cell>
          <cell r="G1180" t="str">
            <v>APPAREL INT QFZ</v>
          </cell>
          <cell r="H1180" t="str">
            <v>DP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A5EA-7533-4DD0-BFBC-D26AFDB664C2}">
  <dimension ref="A1:AB152"/>
  <sheetViews>
    <sheetView tabSelected="1" topLeftCell="B1" zoomScale="85" zoomScaleNormal="85" workbookViewId="0">
      <pane xSplit="5" ySplit="2" topLeftCell="G33" activePane="bottomRight" state="frozen"/>
      <selection activeCell="B1" sqref="B1"/>
      <selection pane="topRight" activeCell="F1" sqref="F1"/>
      <selection pane="bottomLeft" activeCell="B3" sqref="B3"/>
      <selection pane="bottomRight" activeCell="A15" sqref="A15"/>
    </sheetView>
  </sheetViews>
  <sheetFormatPr defaultColWidth="8.85546875" defaultRowHeight="15" x14ac:dyDescent="0.25"/>
  <cols>
    <col min="1" max="2" width="8.85546875" style="3"/>
    <col min="3" max="3" width="11.7109375" style="3" bestFit="1" customWidth="1"/>
    <col min="4" max="4" width="15" style="3" customWidth="1"/>
    <col min="5" max="5" width="16.85546875" style="3" customWidth="1"/>
    <col min="6" max="7" width="14.28515625" style="1" customWidth="1"/>
    <col min="8" max="8" width="47.85546875" style="1" customWidth="1"/>
    <col min="9" max="9" width="9.140625" style="1" bestFit="1" customWidth="1"/>
    <col min="10" max="10" width="8.7109375" style="1" bestFit="1" customWidth="1"/>
    <col min="11" max="11" width="10.28515625" style="1" bestFit="1" customWidth="1"/>
    <col min="12" max="12" width="16.42578125" style="1" bestFit="1" customWidth="1"/>
    <col min="13" max="13" width="11.140625" style="1" bestFit="1" customWidth="1"/>
    <col min="14" max="14" width="9.28515625" style="1" bestFit="1" customWidth="1"/>
    <col min="15" max="15" width="10.7109375" style="1" bestFit="1" customWidth="1"/>
    <col min="16" max="16" width="19.28515625" style="1" bestFit="1" customWidth="1"/>
    <col min="17" max="17" width="15.140625" style="1" customWidth="1"/>
    <col min="18" max="18" width="10.85546875" style="1" customWidth="1"/>
    <col min="19" max="19" width="11.28515625" style="1" customWidth="1"/>
    <col min="20" max="20" width="32.28515625" style="1" bestFit="1" customWidth="1"/>
    <col min="21" max="21" width="14.7109375" style="1" customWidth="1"/>
    <col min="22" max="22" width="13.28515625" style="1" customWidth="1"/>
    <col min="23" max="23" width="10.5703125" style="1" customWidth="1"/>
    <col min="24" max="24" width="13.28515625" style="1" customWidth="1"/>
    <col min="25" max="25" width="11.85546875" style="1" customWidth="1"/>
    <col min="26" max="26" width="11.28515625" style="1" customWidth="1"/>
    <col min="27" max="27" width="23" style="1" customWidth="1"/>
    <col min="28" max="28" width="37.28515625" style="3" bestFit="1" customWidth="1"/>
    <col min="29" max="16384" width="8.85546875" style="3"/>
  </cols>
  <sheetData>
    <row r="1" spans="1:28" x14ac:dyDescent="0.25">
      <c r="A1" s="29" t="s">
        <v>0</v>
      </c>
      <c r="B1" s="29" t="s">
        <v>3</v>
      </c>
      <c r="C1" s="29" t="s">
        <v>1</v>
      </c>
      <c r="D1" s="29" t="s">
        <v>2</v>
      </c>
      <c r="E1" s="28" t="s">
        <v>152</v>
      </c>
      <c r="F1" s="28"/>
      <c r="G1" s="28"/>
      <c r="H1" s="6" t="s">
        <v>131</v>
      </c>
      <c r="I1" s="28" t="s">
        <v>7</v>
      </c>
      <c r="J1" s="28"/>
      <c r="K1" s="28"/>
      <c r="L1" s="7" t="s">
        <v>147</v>
      </c>
      <c r="M1" s="28" t="s">
        <v>8</v>
      </c>
      <c r="N1" s="28"/>
      <c r="O1" s="28"/>
      <c r="P1" s="7" t="s">
        <v>150</v>
      </c>
      <c r="Q1" s="28" t="s">
        <v>153</v>
      </c>
      <c r="R1" s="28"/>
      <c r="S1" s="28"/>
      <c r="T1" s="8" t="s">
        <v>151</v>
      </c>
      <c r="U1" s="22" t="s">
        <v>240</v>
      </c>
      <c r="V1" s="23"/>
      <c r="W1" s="24"/>
      <c r="X1" s="28" t="s">
        <v>9</v>
      </c>
      <c r="Y1" s="28"/>
      <c r="Z1" s="28"/>
      <c r="AA1" s="7" t="s">
        <v>246</v>
      </c>
      <c r="AB1" s="20" t="s">
        <v>248</v>
      </c>
    </row>
    <row r="2" spans="1:28" x14ac:dyDescent="0.25">
      <c r="A2" s="29"/>
      <c r="B2" s="29"/>
      <c r="C2" s="29"/>
      <c r="D2" s="29"/>
      <c r="E2" s="9" t="s">
        <v>4</v>
      </c>
      <c r="F2" s="9" t="s">
        <v>5</v>
      </c>
      <c r="G2" s="9" t="s">
        <v>6</v>
      </c>
      <c r="H2" s="10" t="s">
        <v>132</v>
      </c>
      <c r="I2" s="9" t="s">
        <v>4</v>
      </c>
      <c r="J2" s="9" t="s">
        <v>5</v>
      </c>
      <c r="K2" s="9" t="s">
        <v>6</v>
      </c>
      <c r="L2" s="7" t="s">
        <v>149</v>
      </c>
      <c r="M2" s="28" t="s">
        <v>4</v>
      </c>
      <c r="N2" s="28" t="s">
        <v>5</v>
      </c>
      <c r="O2" s="28" t="s">
        <v>6</v>
      </c>
      <c r="P2" s="7" t="s">
        <v>148</v>
      </c>
      <c r="Q2" s="28" t="s">
        <v>4</v>
      </c>
      <c r="R2" s="28" t="s">
        <v>5</v>
      </c>
      <c r="S2" s="28" t="s">
        <v>6</v>
      </c>
      <c r="T2" s="7"/>
      <c r="U2" s="25"/>
      <c r="V2" s="26"/>
      <c r="W2" s="27"/>
      <c r="X2" s="9"/>
      <c r="Y2" s="9"/>
      <c r="Z2" s="9"/>
      <c r="AA2" s="7"/>
      <c r="AB2" s="21"/>
    </row>
    <row r="3" spans="1:28" x14ac:dyDescent="0.25">
      <c r="A3" s="11">
        <v>1</v>
      </c>
      <c r="B3" s="11" t="s">
        <v>45</v>
      </c>
      <c r="C3" s="11">
        <v>110186</v>
      </c>
      <c r="D3" s="11" t="str">
        <f>VLOOKUP(B3,[1]Sheet1!$B$1028:$H$1180,7,0)</f>
        <v>DP</v>
      </c>
      <c r="E3" s="12">
        <v>46235</v>
      </c>
      <c r="F3" s="13">
        <v>0.75138888888888888</v>
      </c>
      <c r="G3" s="11" t="str">
        <f>TEXT(E3,"dddd")</f>
        <v>Saturday</v>
      </c>
      <c r="H3" s="11" t="s">
        <v>133</v>
      </c>
      <c r="I3" s="12">
        <v>46238</v>
      </c>
      <c r="J3" s="13">
        <v>0.60277777777777775</v>
      </c>
      <c r="K3" s="11" t="str">
        <f>TEXT(I3,"dddd")</f>
        <v>Tuesday</v>
      </c>
      <c r="L3" s="11" t="str">
        <f>INT((I3+J3)-(E3+F3))&amp;" Days "&amp;ROUND(MOD((I3+J3)-(E3+F3),1)*24,1)&amp;" Hrs"</f>
        <v>2 Days 20.4 Hrs</v>
      </c>
      <c r="M3" s="12">
        <v>46238</v>
      </c>
      <c r="N3" s="13">
        <v>0.66388888888888886</v>
      </c>
      <c r="O3" s="11" t="str">
        <f>TEXT(M3,"dddd")</f>
        <v>Tuesday</v>
      </c>
      <c r="P3" s="11" t="str">
        <f t="shared" ref="P3:P66" si="0">INT((M3+N3)-(I3+J3))&amp;" Days "&amp;ROUND(MOD((M3+N3)-(I3+J3),1)*24,1)&amp;" Hrs"</f>
        <v>0 Days 1.5 Hrs</v>
      </c>
      <c r="Q3" s="12">
        <v>46238</v>
      </c>
      <c r="R3" s="13">
        <v>0.73611111111111116</v>
      </c>
      <c r="S3" s="11" t="str">
        <f>TEXT(Q3,"dddd")</f>
        <v>Tuesday</v>
      </c>
      <c r="T3" s="11" t="str">
        <f t="shared" ref="T3:T66" si="1">INT((Q3+R3)-(M3+N3))&amp;" Days "&amp;ROUND(MOD((Q3+R3)-(M3+N3),1)*24,1)&amp;" Hrs"</f>
        <v>0 Days 1.7 Hrs</v>
      </c>
      <c r="U3" s="11"/>
      <c r="V3" s="11"/>
      <c r="W3" s="11"/>
      <c r="X3" s="12">
        <v>46240</v>
      </c>
      <c r="Y3" s="11" t="s">
        <v>241</v>
      </c>
      <c r="Z3" s="19" t="str">
        <f>TEXT(X3,"dddd")</f>
        <v>Thursday</v>
      </c>
      <c r="AA3" s="11">
        <f t="shared" ref="AA3:AA34" si="2">X3-E3</f>
        <v>5</v>
      </c>
    </row>
    <row r="4" spans="1:28" x14ac:dyDescent="0.25">
      <c r="A4" s="11">
        <v>2</v>
      </c>
      <c r="B4" s="11" t="s">
        <v>46</v>
      </c>
      <c r="C4" s="11">
        <v>110178</v>
      </c>
      <c r="D4" s="11" t="str">
        <f>VLOOKUP(B4,[1]Sheet1!$B$1028:$H$1180,7,0)</f>
        <v>Mix</v>
      </c>
      <c r="E4" s="12">
        <v>46235</v>
      </c>
      <c r="F4" s="13">
        <v>0.71666666666666667</v>
      </c>
      <c r="G4" s="11" t="str">
        <f t="shared" ref="G4:G67" si="3">TEXT(E4,"dddd")</f>
        <v>Saturday</v>
      </c>
      <c r="H4" s="11"/>
      <c r="I4" s="12">
        <v>46235</v>
      </c>
      <c r="J4" s="13">
        <v>0.88749999999999996</v>
      </c>
      <c r="K4" s="11" t="str">
        <f t="shared" ref="K4:K67" si="4">TEXT(I4,"dddd")</f>
        <v>Saturday</v>
      </c>
      <c r="L4" s="11" t="str">
        <f t="shared" ref="L4:L67" si="5">INT((I4+J4)-(E4+F4))&amp;" Days "&amp;ROUND(MOD((I4+J4)-(E4+F4),1)*24,1)&amp;" Hrs"</f>
        <v>0 Days 4.1 Hrs</v>
      </c>
      <c r="M4" s="12">
        <v>46236</v>
      </c>
      <c r="N4" s="13">
        <v>0.40347222222222223</v>
      </c>
      <c r="O4" s="11" t="str">
        <f t="shared" ref="O4:O67" si="6">TEXT(M4,"dddd")</f>
        <v>Sunday</v>
      </c>
      <c r="P4" s="11" t="str">
        <f t="shared" si="0"/>
        <v>0 Days 12.4 Hrs</v>
      </c>
      <c r="Q4" s="12">
        <v>46236</v>
      </c>
      <c r="R4" s="13">
        <v>0.41805555555555557</v>
      </c>
      <c r="S4" s="11" t="str">
        <f t="shared" ref="S4:S67" si="7">TEXT(Q4,"dddd")</f>
        <v>Sunday</v>
      </c>
      <c r="T4" s="11" t="str">
        <f t="shared" si="1"/>
        <v>0 Days 0.4 Hrs</v>
      </c>
      <c r="U4" s="11"/>
      <c r="V4" s="11"/>
      <c r="W4" s="11"/>
      <c r="X4" s="12">
        <v>46236</v>
      </c>
      <c r="Y4" s="11" t="s">
        <v>174</v>
      </c>
      <c r="Z4" s="19" t="str">
        <f t="shared" ref="Z4:Z27" si="8">TEXT(X4,"dddd")</f>
        <v>Sunday</v>
      </c>
      <c r="AA4" s="11">
        <f t="shared" si="2"/>
        <v>1</v>
      </c>
    </row>
    <row r="5" spans="1:28" x14ac:dyDescent="0.25">
      <c r="A5" s="11">
        <v>3</v>
      </c>
      <c r="B5" s="11" t="s">
        <v>47</v>
      </c>
      <c r="C5" s="11">
        <v>110182</v>
      </c>
      <c r="D5" s="11" t="str">
        <f>VLOOKUP(B5,[1]Sheet1!$B$1028:$H$1180,7,0)</f>
        <v>R&amp;B</v>
      </c>
      <c r="E5" s="12">
        <v>46235</v>
      </c>
      <c r="F5" s="13">
        <v>0.73819444444444449</v>
      </c>
      <c r="G5" s="11" t="str">
        <f t="shared" si="3"/>
        <v>Saturday</v>
      </c>
      <c r="H5" s="11"/>
      <c r="I5" s="12">
        <v>46235</v>
      </c>
      <c r="J5" s="13">
        <v>0.90694444444444444</v>
      </c>
      <c r="K5" s="11" t="str">
        <f t="shared" si="4"/>
        <v>Saturday</v>
      </c>
      <c r="L5" s="11" t="str">
        <f t="shared" si="5"/>
        <v>0 Days 4.1 Hrs</v>
      </c>
      <c r="M5" s="12">
        <v>46236</v>
      </c>
      <c r="N5" s="13">
        <v>0.46527777777777779</v>
      </c>
      <c r="O5" s="11" t="str">
        <f t="shared" si="6"/>
        <v>Sunday</v>
      </c>
      <c r="P5" s="11" t="str">
        <f t="shared" si="0"/>
        <v>0 Days 13.4 Hrs</v>
      </c>
      <c r="Q5" s="12">
        <v>46236</v>
      </c>
      <c r="R5" s="13">
        <v>0.46875</v>
      </c>
      <c r="S5" s="11" t="str">
        <f t="shared" si="7"/>
        <v>Sunday</v>
      </c>
      <c r="T5" s="11" t="str">
        <f t="shared" si="1"/>
        <v>0 Days 0.1 Hrs</v>
      </c>
      <c r="U5" s="11"/>
      <c r="V5" s="11"/>
      <c r="W5" s="11"/>
      <c r="X5" s="12">
        <v>46236</v>
      </c>
      <c r="Y5" s="11" t="s">
        <v>241</v>
      </c>
      <c r="Z5" s="19" t="str">
        <f t="shared" si="8"/>
        <v>Sunday</v>
      </c>
      <c r="AA5" s="11">
        <f t="shared" si="2"/>
        <v>1</v>
      </c>
    </row>
    <row r="6" spans="1:28" x14ac:dyDescent="0.25">
      <c r="A6" s="11">
        <v>4</v>
      </c>
      <c r="B6" s="11" t="s">
        <v>48</v>
      </c>
      <c r="C6" s="11">
        <v>110183</v>
      </c>
      <c r="D6" s="11" t="str">
        <f>VLOOKUP(B6,[1]Sheet1!$B$1028:$H$1180,7,0)</f>
        <v>R&amp;B</v>
      </c>
      <c r="E6" s="12">
        <v>46235</v>
      </c>
      <c r="F6" s="13">
        <v>0.74097222222222225</v>
      </c>
      <c r="G6" s="11" t="str">
        <f t="shared" si="3"/>
        <v>Saturday</v>
      </c>
      <c r="H6" s="11"/>
      <c r="I6" s="12">
        <v>46235</v>
      </c>
      <c r="J6" s="13">
        <v>0.9291666666666667</v>
      </c>
      <c r="K6" s="11" t="str">
        <f t="shared" si="4"/>
        <v>Saturday</v>
      </c>
      <c r="L6" s="11" t="str">
        <f t="shared" si="5"/>
        <v>0 Days 4.5 Hrs</v>
      </c>
      <c r="M6" s="12">
        <v>46236</v>
      </c>
      <c r="N6" s="13">
        <v>0.40486111111111112</v>
      </c>
      <c r="O6" s="11" t="str">
        <f t="shared" si="6"/>
        <v>Sunday</v>
      </c>
      <c r="P6" s="11" t="str">
        <f t="shared" si="0"/>
        <v>0 Days 11.4 Hrs</v>
      </c>
      <c r="Q6" s="12">
        <v>46236</v>
      </c>
      <c r="R6" s="13">
        <v>0.41875000000000001</v>
      </c>
      <c r="S6" s="11" t="str">
        <f t="shared" si="7"/>
        <v>Sunday</v>
      </c>
      <c r="T6" s="11" t="str">
        <f t="shared" si="1"/>
        <v>0 Days 0.3 Hrs</v>
      </c>
      <c r="U6" s="11"/>
      <c r="V6" s="11"/>
      <c r="W6" s="11"/>
      <c r="X6" s="12">
        <v>46236</v>
      </c>
      <c r="Y6" s="11" t="s">
        <v>241</v>
      </c>
      <c r="Z6" s="19" t="str">
        <f t="shared" si="8"/>
        <v>Sunday</v>
      </c>
      <c r="AA6" s="11">
        <f t="shared" si="2"/>
        <v>1</v>
      </c>
    </row>
    <row r="7" spans="1:28" x14ac:dyDescent="0.25">
      <c r="A7" s="11">
        <v>5</v>
      </c>
      <c r="B7" s="11" t="s">
        <v>49</v>
      </c>
      <c r="C7" s="11">
        <v>110184</v>
      </c>
      <c r="D7" s="11" t="str">
        <f>VLOOKUP(B7,[1]Sheet1!$B$1028:$H$1180,7,0)</f>
        <v>B&amp;M</v>
      </c>
      <c r="E7" s="12">
        <v>46235</v>
      </c>
      <c r="F7" s="13">
        <v>0.74513888888888891</v>
      </c>
      <c r="G7" s="11" t="str">
        <f t="shared" si="3"/>
        <v>Saturday</v>
      </c>
      <c r="H7" s="11" t="s">
        <v>134</v>
      </c>
      <c r="I7" s="12">
        <v>46236</v>
      </c>
      <c r="J7" s="13">
        <v>0.60833333333333328</v>
      </c>
      <c r="K7" s="11" t="str">
        <f t="shared" si="4"/>
        <v>Sunday</v>
      </c>
      <c r="L7" s="11" t="str">
        <f t="shared" si="5"/>
        <v>0 Days 20.7 Hrs</v>
      </c>
      <c r="M7" s="12">
        <v>46237</v>
      </c>
      <c r="N7" s="13">
        <v>0.50694444444444442</v>
      </c>
      <c r="O7" s="11" t="str">
        <f t="shared" si="6"/>
        <v>Monday</v>
      </c>
      <c r="P7" s="11" t="str">
        <f t="shared" si="0"/>
        <v>0 Days 21.6 Hrs</v>
      </c>
      <c r="Q7" s="12">
        <v>46237</v>
      </c>
      <c r="R7" s="13">
        <v>0.57499999999999996</v>
      </c>
      <c r="S7" s="11" t="str">
        <f t="shared" si="7"/>
        <v>Monday</v>
      </c>
      <c r="T7" s="11" t="str">
        <f t="shared" si="1"/>
        <v>0 Days 1.6 Hrs</v>
      </c>
      <c r="U7" s="11"/>
      <c r="V7" s="11"/>
      <c r="W7" s="11"/>
      <c r="X7" s="12">
        <v>46238</v>
      </c>
      <c r="Y7" s="11" t="s">
        <v>241</v>
      </c>
      <c r="Z7" s="19" t="str">
        <f t="shared" si="8"/>
        <v>Tuesday</v>
      </c>
      <c r="AA7" s="11">
        <f t="shared" si="2"/>
        <v>3</v>
      </c>
    </row>
    <row r="8" spans="1:28" x14ac:dyDescent="0.25">
      <c r="A8" s="11">
        <v>6</v>
      </c>
      <c r="B8" s="11" t="s">
        <v>50</v>
      </c>
      <c r="C8" s="11">
        <v>110185</v>
      </c>
      <c r="D8" s="11" t="str">
        <f>VLOOKUP(B8,[1]Sheet1!$B$1028:$H$1180,7,0)</f>
        <v>BBZ</v>
      </c>
      <c r="E8" s="12">
        <v>46235</v>
      </c>
      <c r="F8" s="13">
        <v>0.74791666666666667</v>
      </c>
      <c r="G8" s="11" t="str">
        <f t="shared" si="3"/>
        <v>Saturday</v>
      </c>
      <c r="H8" s="11"/>
      <c r="I8" s="12">
        <v>46235</v>
      </c>
      <c r="J8" s="13">
        <v>0.98888888888888893</v>
      </c>
      <c r="K8" s="11" t="str">
        <f t="shared" si="4"/>
        <v>Saturday</v>
      </c>
      <c r="L8" s="11" t="str">
        <f t="shared" si="5"/>
        <v>0 Days 5.8 Hrs</v>
      </c>
      <c r="M8" s="12">
        <v>46236</v>
      </c>
      <c r="N8" s="13">
        <v>0.46597222222222223</v>
      </c>
      <c r="O8" s="11" t="str">
        <f t="shared" si="6"/>
        <v>Sunday</v>
      </c>
      <c r="P8" s="11" t="str">
        <f t="shared" si="0"/>
        <v>0 Days 11.4 Hrs</v>
      </c>
      <c r="Q8" s="12">
        <v>46237</v>
      </c>
      <c r="R8" s="13">
        <v>0.42986111111111114</v>
      </c>
      <c r="S8" s="11" t="str">
        <f t="shared" si="7"/>
        <v>Monday</v>
      </c>
      <c r="T8" s="11" t="str">
        <f t="shared" si="1"/>
        <v>0 Days 23.1 Hrs</v>
      </c>
      <c r="U8" s="11"/>
      <c r="V8" s="11"/>
      <c r="W8" s="11"/>
      <c r="X8" s="12">
        <v>46237</v>
      </c>
      <c r="Y8" s="11" t="s">
        <v>241</v>
      </c>
      <c r="Z8" s="19" t="str">
        <f t="shared" si="8"/>
        <v>Monday</v>
      </c>
      <c r="AA8" s="11">
        <f t="shared" si="2"/>
        <v>2</v>
      </c>
    </row>
    <row r="9" spans="1:28" x14ac:dyDescent="0.25">
      <c r="A9" s="11">
        <v>7</v>
      </c>
      <c r="B9" s="11" t="s">
        <v>51</v>
      </c>
      <c r="C9" s="11">
        <v>110179</v>
      </c>
      <c r="D9" s="11" t="str">
        <f>VLOOKUP(B9,[1]Sheet1!$B$1028:$H$1180,7,0)</f>
        <v>Mix</v>
      </c>
      <c r="E9" s="12">
        <v>46235</v>
      </c>
      <c r="F9" s="13">
        <v>0.71944444444444444</v>
      </c>
      <c r="G9" s="11" t="str">
        <f t="shared" si="3"/>
        <v>Saturday</v>
      </c>
      <c r="H9" s="11"/>
      <c r="I9" s="12">
        <v>46236</v>
      </c>
      <c r="J9" s="13">
        <v>7.6388888888888886E-3</v>
      </c>
      <c r="K9" s="11" t="str">
        <f t="shared" si="4"/>
        <v>Sunday</v>
      </c>
      <c r="L9" s="11" t="str">
        <f t="shared" si="5"/>
        <v>0 Days 6.9 Hrs</v>
      </c>
      <c r="M9" s="12">
        <v>46236</v>
      </c>
      <c r="N9" s="13">
        <v>0.4201388888888889</v>
      </c>
      <c r="O9" s="11" t="str">
        <f t="shared" si="6"/>
        <v>Sunday</v>
      </c>
      <c r="P9" s="11" t="str">
        <f t="shared" si="0"/>
        <v>0 Days 9.9 Hrs</v>
      </c>
      <c r="Q9" s="12">
        <v>46236</v>
      </c>
      <c r="R9" s="13">
        <v>0.42152777777777778</v>
      </c>
      <c r="S9" s="11" t="str">
        <f t="shared" si="7"/>
        <v>Sunday</v>
      </c>
      <c r="T9" s="11" t="str">
        <f t="shared" si="1"/>
        <v>0 Days 0 Hrs</v>
      </c>
      <c r="U9" s="11"/>
      <c r="V9" s="11"/>
      <c r="W9" s="11"/>
      <c r="X9" s="12">
        <v>46236</v>
      </c>
      <c r="Y9" s="11" t="s">
        <v>174</v>
      </c>
      <c r="Z9" s="19" t="str">
        <f t="shared" si="8"/>
        <v>Sunday</v>
      </c>
      <c r="AA9" s="11">
        <f t="shared" si="2"/>
        <v>1</v>
      </c>
    </row>
    <row r="10" spans="1:28" x14ac:dyDescent="0.25">
      <c r="A10" s="11">
        <v>8</v>
      </c>
      <c r="B10" s="11" t="s">
        <v>52</v>
      </c>
      <c r="C10" s="11">
        <v>110180</v>
      </c>
      <c r="D10" s="11" t="str">
        <f>VLOOKUP(B10,[1]Sheet1!$B$1028:$H$1180,7,0)</f>
        <v>ADI</v>
      </c>
      <c r="E10" s="12">
        <v>46235</v>
      </c>
      <c r="F10" s="13">
        <v>0.72222222222222221</v>
      </c>
      <c r="G10" s="11" t="str">
        <f t="shared" si="3"/>
        <v>Saturday</v>
      </c>
      <c r="H10" s="11"/>
      <c r="I10" s="12">
        <v>46236</v>
      </c>
      <c r="J10" s="13">
        <v>1.6666666666666666E-2</v>
      </c>
      <c r="K10" s="11" t="str">
        <f t="shared" si="4"/>
        <v>Sunday</v>
      </c>
      <c r="L10" s="11" t="str">
        <f t="shared" si="5"/>
        <v>0 Days 7.1 Hrs</v>
      </c>
      <c r="M10" s="12">
        <v>46236</v>
      </c>
      <c r="N10" s="13">
        <v>0.46597222222222223</v>
      </c>
      <c r="O10" s="11" t="str">
        <f t="shared" si="6"/>
        <v>Sunday</v>
      </c>
      <c r="P10" s="11" t="str">
        <f t="shared" si="0"/>
        <v>0 Days 10.8 Hrs</v>
      </c>
      <c r="Q10" s="12">
        <v>46236</v>
      </c>
      <c r="R10" s="13">
        <v>0.46597222222222223</v>
      </c>
      <c r="S10" s="11" t="str">
        <f t="shared" si="7"/>
        <v>Sunday</v>
      </c>
      <c r="T10" s="11" t="str">
        <f t="shared" si="1"/>
        <v>0 Days 0 Hrs</v>
      </c>
      <c r="U10" s="11"/>
      <c r="V10" s="11"/>
      <c r="W10" s="11"/>
      <c r="X10" s="12">
        <v>46236</v>
      </c>
      <c r="Y10" s="11" t="s">
        <v>241</v>
      </c>
      <c r="Z10" s="19" t="str">
        <f t="shared" si="8"/>
        <v>Sunday</v>
      </c>
      <c r="AA10" s="11">
        <f t="shared" si="2"/>
        <v>1</v>
      </c>
    </row>
    <row r="11" spans="1:28" x14ac:dyDescent="0.25">
      <c r="A11" s="11">
        <v>9</v>
      </c>
      <c r="B11" s="11" t="s">
        <v>53</v>
      </c>
      <c r="C11" s="11">
        <v>110181</v>
      </c>
      <c r="D11" s="11" t="str">
        <f>VLOOKUP(B11,[1]Sheet1!$B$1028:$H$1180,7,0)</f>
        <v>OFP</v>
      </c>
      <c r="E11" s="12">
        <v>46235</v>
      </c>
      <c r="F11" s="13">
        <v>0.73124999999999996</v>
      </c>
      <c r="G11" s="11" t="str">
        <f t="shared" si="3"/>
        <v>Saturday</v>
      </c>
      <c r="H11" s="11"/>
      <c r="I11" s="12">
        <v>46236</v>
      </c>
      <c r="J11" s="13">
        <v>0.4548611111111111</v>
      </c>
      <c r="K11" s="11" t="str">
        <f t="shared" si="4"/>
        <v>Sunday</v>
      </c>
      <c r="L11" s="11" t="str">
        <f t="shared" si="5"/>
        <v>0 Days 17.4 Hrs</v>
      </c>
      <c r="M11" s="12">
        <v>46237</v>
      </c>
      <c r="N11" s="13">
        <v>0.32777777777777778</v>
      </c>
      <c r="O11" s="11" t="str">
        <f t="shared" si="6"/>
        <v>Monday</v>
      </c>
      <c r="P11" s="11" t="str">
        <f t="shared" si="0"/>
        <v>0 Days 21 Hrs</v>
      </c>
      <c r="Q11" s="12">
        <v>46237</v>
      </c>
      <c r="R11" s="13">
        <v>0.42916666666666664</v>
      </c>
      <c r="S11" s="11" t="str">
        <f t="shared" si="7"/>
        <v>Monday</v>
      </c>
      <c r="T11" s="11" t="str">
        <f t="shared" si="1"/>
        <v>0 Days 2.4 Hrs</v>
      </c>
      <c r="U11" s="11"/>
      <c r="V11" s="11"/>
      <c r="W11" s="11"/>
      <c r="X11" s="12">
        <v>46237</v>
      </c>
      <c r="Y11" s="11" t="s">
        <v>241</v>
      </c>
      <c r="Z11" s="19" t="str">
        <f t="shared" si="8"/>
        <v>Monday</v>
      </c>
      <c r="AA11" s="11">
        <f t="shared" si="2"/>
        <v>2</v>
      </c>
    </row>
    <row r="12" spans="1:28" x14ac:dyDescent="0.25">
      <c r="A12" s="11">
        <v>10</v>
      </c>
      <c r="B12" s="11" t="s">
        <v>54</v>
      </c>
      <c r="C12" s="11">
        <v>110212</v>
      </c>
      <c r="D12" s="11" t="str">
        <f>VLOOKUP(B12,[1]Sheet1!$B$1028:$H$1180,7,0)</f>
        <v>R&amp;B</v>
      </c>
      <c r="E12" s="12">
        <v>46236</v>
      </c>
      <c r="F12" s="13">
        <v>0.39374999999999999</v>
      </c>
      <c r="G12" s="11" t="str">
        <f t="shared" si="3"/>
        <v>Sunday</v>
      </c>
      <c r="H12" s="11"/>
      <c r="I12" s="12">
        <v>46236</v>
      </c>
      <c r="J12" s="13">
        <v>0.50972222222222219</v>
      </c>
      <c r="K12" s="11" t="str">
        <f t="shared" si="4"/>
        <v>Sunday</v>
      </c>
      <c r="L12" s="11" t="str">
        <f t="shared" si="5"/>
        <v>0 Days 2.8 Hrs</v>
      </c>
      <c r="M12" s="12">
        <v>46237</v>
      </c>
      <c r="N12" s="13">
        <v>0.32847222222222222</v>
      </c>
      <c r="O12" s="11" t="str">
        <f t="shared" si="6"/>
        <v>Monday</v>
      </c>
      <c r="P12" s="11" t="str">
        <f t="shared" si="0"/>
        <v>0 Days 19.6 Hrs</v>
      </c>
      <c r="Q12" s="12">
        <v>46237</v>
      </c>
      <c r="R12" s="13">
        <v>0.42986111111111114</v>
      </c>
      <c r="S12" s="11" t="str">
        <f t="shared" si="7"/>
        <v>Monday</v>
      </c>
      <c r="T12" s="11" t="str">
        <f t="shared" si="1"/>
        <v>0 Days 2.4 Hrs</v>
      </c>
      <c r="U12" s="11"/>
      <c r="V12" s="11"/>
      <c r="W12" s="11"/>
      <c r="X12" s="12">
        <v>46237</v>
      </c>
      <c r="Y12" s="11" t="s">
        <v>241</v>
      </c>
      <c r="Z12" s="19" t="str">
        <f t="shared" si="8"/>
        <v>Monday</v>
      </c>
      <c r="AA12" s="11">
        <f t="shared" si="2"/>
        <v>1</v>
      </c>
    </row>
    <row r="13" spans="1:28" x14ac:dyDescent="0.25">
      <c r="A13" s="11">
        <v>11</v>
      </c>
      <c r="B13" s="11" t="s">
        <v>55</v>
      </c>
      <c r="C13" s="11">
        <v>110213</v>
      </c>
      <c r="D13" s="11" t="str">
        <f>VLOOKUP(B13,[1]Sheet1!$B$1028:$H$1180,7,0)</f>
        <v>Mix</v>
      </c>
      <c r="E13" s="12">
        <v>46236</v>
      </c>
      <c r="F13" s="13">
        <v>0.3972222222222222</v>
      </c>
      <c r="G13" s="11" t="str">
        <f t="shared" si="3"/>
        <v>Sunday</v>
      </c>
      <c r="H13" s="11"/>
      <c r="I13" s="12">
        <v>46236</v>
      </c>
      <c r="J13" s="13">
        <v>0.52708333333333335</v>
      </c>
      <c r="K13" s="11" t="str">
        <f t="shared" si="4"/>
        <v>Sunday</v>
      </c>
      <c r="L13" s="11" t="str">
        <f t="shared" si="5"/>
        <v>0 Days 3.1 Hrs</v>
      </c>
      <c r="M13" s="12">
        <v>46237</v>
      </c>
      <c r="N13" s="13">
        <v>0.52500000000000002</v>
      </c>
      <c r="O13" s="11" t="str">
        <f t="shared" si="6"/>
        <v>Monday</v>
      </c>
      <c r="P13" s="11" t="str">
        <f t="shared" si="0"/>
        <v>0 Days 24 Hrs</v>
      </c>
      <c r="Q13" s="12">
        <v>46237</v>
      </c>
      <c r="R13" s="13">
        <v>0.52986111111111112</v>
      </c>
      <c r="S13" s="11" t="str">
        <f t="shared" si="7"/>
        <v>Monday</v>
      </c>
      <c r="T13" s="11" t="str">
        <f t="shared" si="1"/>
        <v>0 Days 0.1 Hrs</v>
      </c>
      <c r="U13" s="11"/>
      <c r="V13" s="11"/>
      <c r="W13" s="11"/>
      <c r="X13" s="12">
        <v>46237</v>
      </c>
      <c r="Y13" s="11" t="s">
        <v>174</v>
      </c>
      <c r="Z13" s="19" t="str">
        <f t="shared" si="8"/>
        <v>Monday</v>
      </c>
      <c r="AA13" s="11">
        <f t="shared" si="2"/>
        <v>1</v>
      </c>
    </row>
    <row r="14" spans="1:28" x14ac:dyDescent="0.25">
      <c r="A14" s="11">
        <v>12</v>
      </c>
      <c r="B14" s="11" t="s">
        <v>56</v>
      </c>
      <c r="C14" s="11">
        <v>110223</v>
      </c>
      <c r="D14" s="11" t="str">
        <f>VLOOKUP(B14,[1]Sheet1!$B$1028:$H$1180,7,0)</f>
        <v>BBZ</v>
      </c>
      <c r="E14" s="12">
        <v>46236</v>
      </c>
      <c r="F14" s="13">
        <v>0.72013888888888888</v>
      </c>
      <c r="G14" s="11" t="str">
        <f t="shared" si="3"/>
        <v>Sunday</v>
      </c>
      <c r="H14" s="11"/>
      <c r="I14" s="12">
        <v>46236</v>
      </c>
      <c r="J14" s="13">
        <v>0.73888888888888893</v>
      </c>
      <c r="K14" s="11" t="str">
        <f t="shared" si="4"/>
        <v>Sunday</v>
      </c>
      <c r="L14" s="11" t="str">
        <f t="shared" si="5"/>
        <v>0 Days 0.5 Hrs</v>
      </c>
      <c r="M14" s="12">
        <v>46237</v>
      </c>
      <c r="N14" s="13">
        <v>0.63749999999999996</v>
      </c>
      <c r="O14" s="11" t="str">
        <f t="shared" si="6"/>
        <v>Monday</v>
      </c>
      <c r="P14" s="11" t="str">
        <f t="shared" si="0"/>
        <v>0 Days 21.6 Hrs</v>
      </c>
      <c r="Q14" s="12">
        <v>46238</v>
      </c>
      <c r="R14" s="13">
        <v>0.47916666666666669</v>
      </c>
      <c r="S14" s="11" t="str">
        <f t="shared" si="7"/>
        <v>Tuesday</v>
      </c>
      <c r="T14" s="11" t="str">
        <f t="shared" si="1"/>
        <v>0 Days 20.2 Hrs</v>
      </c>
      <c r="U14" s="11"/>
      <c r="V14" s="11"/>
      <c r="W14" s="11"/>
      <c r="X14" s="12">
        <v>46238</v>
      </c>
      <c r="Y14" s="11" t="s">
        <v>241</v>
      </c>
      <c r="Z14" s="19" t="str">
        <f t="shared" si="8"/>
        <v>Tuesday</v>
      </c>
      <c r="AA14" s="11">
        <f t="shared" si="2"/>
        <v>2</v>
      </c>
    </row>
    <row r="15" spans="1:28" x14ac:dyDescent="0.25">
      <c r="A15" s="11">
        <v>13</v>
      </c>
      <c r="B15" s="11" t="s">
        <v>57</v>
      </c>
      <c r="C15" s="11">
        <v>110221</v>
      </c>
      <c r="D15" s="11" t="str">
        <f>VLOOKUP(B15,[1]Sheet1!$B$1028:$H$1180,7,0)</f>
        <v>R&amp;B</v>
      </c>
      <c r="E15" s="12">
        <v>46236</v>
      </c>
      <c r="F15" s="13">
        <v>0.71736111111111112</v>
      </c>
      <c r="G15" s="11" t="str">
        <f t="shared" si="3"/>
        <v>Sunday</v>
      </c>
      <c r="H15" s="11" t="s">
        <v>131</v>
      </c>
      <c r="I15" s="12">
        <v>46236</v>
      </c>
      <c r="J15" s="13">
        <v>0.91805555555555551</v>
      </c>
      <c r="K15" s="11" t="str">
        <f t="shared" si="4"/>
        <v>Sunday</v>
      </c>
      <c r="L15" s="11" t="str">
        <f t="shared" si="5"/>
        <v>0 Days 4.8 Hrs</v>
      </c>
      <c r="M15" s="12">
        <v>46237</v>
      </c>
      <c r="N15" s="13">
        <v>0.42291666666666666</v>
      </c>
      <c r="O15" s="11" t="str">
        <f t="shared" si="6"/>
        <v>Monday</v>
      </c>
      <c r="P15" s="11" t="str">
        <f t="shared" si="0"/>
        <v>0 Days 12.1 Hrs</v>
      </c>
      <c r="Q15" s="12">
        <v>46237</v>
      </c>
      <c r="R15" s="13">
        <v>0.43055555555555558</v>
      </c>
      <c r="S15" s="11" t="str">
        <f t="shared" si="7"/>
        <v>Monday</v>
      </c>
      <c r="T15" s="11" t="str">
        <f t="shared" si="1"/>
        <v>0 Days 0.2 Hrs</v>
      </c>
      <c r="U15" s="11"/>
      <c r="V15" s="11"/>
      <c r="W15" s="11"/>
      <c r="X15" s="12">
        <v>46237</v>
      </c>
      <c r="Y15" s="11" t="s">
        <v>241</v>
      </c>
      <c r="Z15" s="19" t="str">
        <f t="shared" si="8"/>
        <v>Monday</v>
      </c>
      <c r="AA15" s="11">
        <f t="shared" si="2"/>
        <v>1</v>
      </c>
    </row>
    <row r="16" spans="1:28" x14ac:dyDescent="0.25">
      <c r="A16" s="11">
        <v>14</v>
      </c>
      <c r="B16" s="11" t="s">
        <v>58</v>
      </c>
      <c r="C16" s="11">
        <v>110220</v>
      </c>
      <c r="D16" s="11" t="str">
        <f>VLOOKUP(B16,[1]Sheet1!$B$1028:$H$1180,7,0)</f>
        <v>Mix</v>
      </c>
      <c r="E16" s="12">
        <v>46236</v>
      </c>
      <c r="F16" s="13">
        <v>0.71736111111111112</v>
      </c>
      <c r="G16" s="11" t="str">
        <f t="shared" si="3"/>
        <v>Sunday</v>
      </c>
      <c r="H16" s="11"/>
      <c r="I16" s="12">
        <v>46236</v>
      </c>
      <c r="J16" s="13">
        <v>0.76111111111111107</v>
      </c>
      <c r="K16" s="11" t="str">
        <f t="shared" si="4"/>
        <v>Sunday</v>
      </c>
      <c r="L16" s="11" t="str">
        <f t="shared" si="5"/>
        <v>0 Days 1 Hrs</v>
      </c>
      <c r="M16" s="12">
        <v>46237</v>
      </c>
      <c r="N16" s="13">
        <v>0.47638888888888886</v>
      </c>
      <c r="O16" s="11" t="str">
        <f t="shared" si="6"/>
        <v>Monday</v>
      </c>
      <c r="P16" s="11" t="str">
        <f t="shared" si="0"/>
        <v>0 Days 17.2 Hrs</v>
      </c>
      <c r="Q16" s="12">
        <v>46237</v>
      </c>
      <c r="R16" s="13">
        <v>0.47986111111111113</v>
      </c>
      <c r="S16" s="11" t="str">
        <f t="shared" si="7"/>
        <v>Monday</v>
      </c>
      <c r="T16" s="11" t="str">
        <f t="shared" si="1"/>
        <v>0 Days 0.1 Hrs</v>
      </c>
      <c r="U16" s="11"/>
      <c r="V16" s="11"/>
      <c r="W16" s="11"/>
      <c r="X16" s="12">
        <v>46237</v>
      </c>
      <c r="Y16" s="11" t="s">
        <v>174</v>
      </c>
      <c r="Z16" s="19" t="str">
        <f t="shared" si="8"/>
        <v>Monday</v>
      </c>
      <c r="AA16" s="11">
        <f t="shared" si="2"/>
        <v>1</v>
      </c>
    </row>
    <row r="17" spans="1:27" x14ac:dyDescent="0.25">
      <c r="A17" s="11">
        <v>15</v>
      </c>
      <c r="B17" s="11" t="s">
        <v>59</v>
      </c>
      <c r="C17" s="11">
        <v>110222</v>
      </c>
      <c r="D17" s="11" t="str">
        <f>VLOOKUP(B17,[1]Sheet1!$B$1028:$H$1180,7,0)</f>
        <v>B&amp;M</v>
      </c>
      <c r="E17" s="12">
        <v>46236</v>
      </c>
      <c r="F17" s="13">
        <v>0.71736111111111112</v>
      </c>
      <c r="G17" s="11" t="str">
        <f t="shared" si="3"/>
        <v>Sunday</v>
      </c>
      <c r="H17" s="11"/>
      <c r="I17" s="12">
        <v>46236</v>
      </c>
      <c r="J17" s="13">
        <v>0.75208333333333333</v>
      </c>
      <c r="K17" s="11" t="str">
        <f t="shared" si="4"/>
        <v>Sunday</v>
      </c>
      <c r="L17" s="11" t="str">
        <f t="shared" si="5"/>
        <v>0 Days 0.8 Hrs</v>
      </c>
      <c r="M17" s="12">
        <v>46237</v>
      </c>
      <c r="N17" s="13">
        <v>0.59097222222222223</v>
      </c>
      <c r="O17" s="11" t="str">
        <f t="shared" si="6"/>
        <v>Monday</v>
      </c>
      <c r="P17" s="11" t="str">
        <f t="shared" si="0"/>
        <v>0 Days 20.1 Hrs</v>
      </c>
      <c r="Q17" s="12">
        <v>46239</v>
      </c>
      <c r="R17" s="13">
        <v>0.41388888888888886</v>
      </c>
      <c r="S17" s="11" t="str">
        <f t="shared" si="7"/>
        <v>Wednesday</v>
      </c>
      <c r="T17" s="11" t="str">
        <f t="shared" si="1"/>
        <v>1 Days 19.8 Hrs</v>
      </c>
      <c r="U17" s="11"/>
      <c r="V17" s="11"/>
      <c r="W17" s="11"/>
      <c r="X17" s="12">
        <v>46239</v>
      </c>
      <c r="Y17" s="11" t="s">
        <v>241</v>
      </c>
      <c r="Z17" s="19" t="str">
        <f t="shared" si="8"/>
        <v>Wednesday</v>
      </c>
      <c r="AA17" s="11">
        <f t="shared" si="2"/>
        <v>3</v>
      </c>
    </row>
    <row r="18" spans="1:27" x14ac:dyDescent="0.25">
      <c r="A18" s="11">
        <v>16</v>
      </c>
      <c r="B18" s="11" t="s">
        <v>60</v>
      </c>
      <c r="C18" s="11">
        <v>110247</v>
      </c>
      <c r="D18" s="11" t="str">
        <f>VLOOKUP(B18,[1]Sheet1!$B$1028:$H$1180,7,0)</f>
        <v>Mix</v>
      </c>
      <c r="E18" s="12">
        <v>46237</v>
      </c>
      <c r="F18" s="13">
        <v>0.40277777777777779</v>
      </c>
      <c r="G18" s="11" t="str">
        <f t="shared" si="3"/>
        <v>Monday</v>
      </c>
      <c r="H18" s="11"/>
      <c r="I18" s="12">
        <v>46237</v>
      </c>
      <c r="J18" s="13">
        <v>0.4201388888888889</v>
      </c>
      <c r="K18" s="11" t="str">
        <f t="shared" si="4"/>
        <v>Monday</v>
      </c>
      <c r="L18" s="11" t="str">
        <f t="shared" si="5"/>
        <v>0 Days 0.4 Hrs</v>
      </c>
      <c r="M18" s="12">
        <v>46237</v>
      </c>
      <c r="N18" s="13">
        <v>0.60277777777777775</v>
      </c>
      <c r="O18" s="11" t="str">
        <f t="shared" si="6"/>
        <v>Monday</v>
      </c>
      <c r="P18" s="11" t="str">
        <f t="shared" si="0"/>
        <v>0 Days 4.4 Hrs</v>
      </c>
      <c r="Q18" s="12">
        <v>46238</v>
      </c>
      <c r="R18" s="13">
        <v>0.47916666666666669</v>
      </c>
      <c r="S18" s="11" t="str">
        <f t="shared" si="7"/>
        <v>Tuesday</v>
      </c>
      <c r="T18" s="11" t="str">
        <f t="shared" si="1"/>
        <v>0 Days 21 Hrs</v>
      </c>
      <c r="U18" s="11"/>
      <c r="V18" s="11"/>
      <c r="W18" s="11"/>
      <c r="X18" s="12">
        <v>46238</v>
      </c>
      <c r="Y18" s="11" t="s">
        <v>174</v>
      </c>
      <c r="Z18" s="19" t="str">
        <f t="shared" si="8"/>
        <v>Tuesday</v>
      </c>
      <c r="AA18" s="11">
        <f t="shared" si="2"/>
        <v>1</v>
      </c>
    </row>
    <row r="19" spans="1:27" x14ac:dyDescent="0.25">
      <c r="A19" s="11">
        <v>17</v>
      </c>
      <c r="B19" s="11" t="s">
        <v>61</v>
      </c>
      <c r="C19" s="11">
        <v>110249</v>
      </c>
      <c r="D19" s="11" t="str">
        <f>VLOOKUP(B19,[1]Sheet1!$B$1028:$H$1180,7,0)</f>
        <v>Mix</v>
      </c>
      <c r="E19" s="12">
        <v>46237</v>
      </c>
      <c r="F19" s="13">
        <v>0.40625</v>
      </c>
      <c r="G19" s="11" t="str">
        <f t="shared" si="3"/>
        <v>Monday</v>
      </c>
      <c r="H19" s="11"/>
      <c r="I19" s="12">
        <v>46237</v>
      </c>
      <c r="J19" s="13">
        <v>0.45277777777777778</v>
      </c>
      <c r="K19" s="11" t="str">
        <f t="shared" si="4"/>
        <v>Monday</v>
      </c>
      <c r="L19" s="11" t="str">
        <f t="shared" si="5"/>
        <v>0 Days 1.1 Hrs</v>
      </c>
      <c r="M19" s="12">
        <v>46237</v>
      </c>
      <c r="N19" s="13">
        <v>0.6118055555555556</v>
      </c>
      <c r="O19" s="11" t="str">
        <f t="shared" si="6"/>
        <v>Monday</v>
      </c>
      <c r="P19" s="11" t="str">
        <f t="shared" si="0"/>
        <v>0 Days 3.8 Hrs</v>
      </c>
      <c r="Q19" s="12">
        <v>46238</v>
      </c>
      <c r="R19" s="13">
        <v>0.47916666666666669</v>
      </c>
      <c r="S19" s="11" t="str">
        <f t="shared" si="7"/>
        <v>Tuesday</v>
      </c>
      <c r="T19" s="11" t="str">
        <f t="shared" si="1"/>
        <v>0 Days 20.8 Hrs</v>
      </c>
      <c r="U19" s="11"/>
      <c r="V19" s="11"/>
      <c r="W19" s="11"/>
      <c r="X19" s="12">
        <v>46238</v>
      </c>
      <c r="Y19" s="11" t="s">
        <v>174</v>
      </c>
      <c r="Z19" s="19" t="str">
        <f t="shared" si="8"/>
        <v>Tuesday</v>
      </c>
      <c r="AA19" s="11">
        <f t="shared" si="2"/>
        <v>1</v>
      </c>
    </row>
    <row r="20" spans="1:27" x14ac:dyDescent="0.25">
      <c r="A20" s="11">
        <v>18</v>
      </c>
      <c r="B20" s="11" t="s">
        <v>62</v>
      </c>
      <c r="C20" s="11">
        <v>110250</v>
      </c>
      <c r="D20" s="11" t="str">
        <f>VLOOKUP(B20,[1]Sheet1!$B$1028:$H$1180,7,0)</f>
        <v>R&amp;B</v>
      </c>
      <c r="E20" s="12">
        <v>46237</v>
      </c>
      <c r="F20" s="13">
        <v>0.40972222222222221</v>
      </c>
      <c r="G20" s="11" t="str">
        <f t="shared" si="3"/>
        <v>Monday</v>
      </c>
      <c r="H20" s="11" t="s">
        <v>131</v>
      </c>
      <c r="I20" s="12">
        <v>46237</v>
      </c>
      <c r="J20" s="13">
        <v>0.48194444444444445</v>
      </c>
      <c r="K20" s="11" t="str">
        <f t="shared" si="4"/>
        <v>Monday</v>
      </c>
      <c r="L20" s="11" t="str">
        <f t="shared" si="5"/>
        <v>0 Days 1.7 Hrs</v>
      </c>
      <c r="M20" s="12">
        <v>46237</v>
      </c>
      <c r="N20" s="13">
        <v>0.7006944444444444</v>
      </c>
      <c r="O20" s="11" t="str">
        <f t="shared" si="6"/>
        <v>Monday</v>
      </c>
      <c r="P20" s="11" t="str">
        <f t="shared" si="0"/>
        <v>0 Days 5.3 Hrs</v>
      </c>
      <c r="Q20" s="12">
        <v>46238</v>
      </c>
      <c r="R20" s="13">
        <v>0.47986111111111113</v>
      </c>
      <c r="S20" s="11" t="str">
        <f t="shared" si="7"/>
        <v>Tuesday</v>
      </c>
      <c r="T20" s="11" t="str">
        <f t="shared" si="1"/>
        <v>0 Days 18.7 Hrs</v>
      </c>
      <c r="U20" s="11"/>
      <c r="V20" s="11"/>
      <c r="W20" s="11"/>
      <c r="X20" s="12">
        <v>46238</v>
      </c>
      <c r="Y20" s="11" t="s">
        <v>241</v>
      </c>
      <c r="Z20" s="19" t="str">
        <f t="shared" si="8"/>
        <v>Tuesday</v>
      </c>
      <c r="AA20" s="11">
        <f t="shared" si="2"/>
        <v>1</v>
      </c>
    </row>
    <row r="21" spans="1:27" x14ac:dyDescent="0.25">
      <c r="A21" s="11">
        <v>19</v>
      </c>
      <c r="B21" s="11" t="s">
        <v>63</v>
      </c>
      <c r="C21" s="11">
        <v>110251</v>
      </c>
      <c r="D21" s="11" t="str">
        <f>VLOOKUP(B21,[1]Sheet1!$B$1028:$H$1180,7,0)</f>
        <v>BBZ</v>
      </c>
      <c r="E21" s="12">
        <v>46237</v>
      </c>
      <c r="F21" s="13">
        <v>0.41388888888888886</v>
      </c>
      <c r="G21" s="11" t="str">
        <f t="shared" si="3"/>
        <v>Monday</v>
      </c>
      <c r="H21" s="11"/>
      <c r="I21" s="12">
        <v>46237</v>
      </c>
      <c r="J21" s="13">
        <v>0.49861111111111112</v>
      </c>
      <c r="K21" s="11" t="str">
        <f t="shared" si="4"/>
        <v>Monday</v>
      </c>
      <c r="L21" s="11" t="str">
        <f t="shared" si="5"/>
        <v>0 Days 2 Hrs</v>
      </c>
      <c r="M21" s="12">
        <v>46237</v>
      </c>
      <c r="N21" s="13">
        <v>0.66041666666666665</v>
      </c>
      <c r="O21" s="11" t="str">
        <f t="shared" si="6"/>
        <v>Monday</v>
      </c>
      <c r="P21" s="11" t="str">
        <f t="shared" si="0"/>
        <v>0 Days 3.9 Hrs</v>
      </c>
      <c r="Q21" s="12">
        <v>46239</v>
      </c>
      <c r="R21" s="13">
        <v>0.41458333333333336</v>
      </c>
      <c r="S21" s="11" t="str">
        <f t="shared" si="7"/>
        <v>Wednesday</v>
      </c>
      <c r="T21" s="11" t="str">
        <f t="shared" si="1"/>
        <v>1 Days 18.1 Hrs</v>
      </c>
      <c r="U21" s="11"/>
      <c r="V21" s="11"/>
      <c r="W21" s="11"/>
      <c r="X21" s="12">
        <v>46239</v>
      </c>
      <c r="Y21" s="11" t="s">
        <v>241</v>
      </c>
      <c r="Z21" s="19" t="str">
        <f t="shared" si="8"/>
        <v>Wednesday</v>
      </c>
      <c r="AA21" s="11">
        <f t="shared" si="2"/>
        <v>2</v>
      </c>
    </row>
    <row r="22" spans="1:27" x14ac:dyDescent="0.25">
      <c r="A22" s="11">
        <v>20</v>
      </c>
      <c r="B22" s="11" t="s">
        <v>64</v>
      </c>
      <c r="C22" s="11">
        <v>110285</v>
      </c>
      <c r="D22" s="11" t="str">
        <f>VLOOKUP(B22,[1]Sheet1!$B$1028:$H$1180,7,0)</f>
        <v>Mix</v>
      </c>
      <c r="E22" s="12">
        <v>46237</v>
      </c>
      <c r="F22" s="13">
        <v>0.71180555555555558</v>
      </c>
      <c r="G22" s="11" t="str">
        <f t="shared" si="3"/>
        <v>Monday</v>
      </c>
      <c r="H22" s="11"/>
      <c r="I22" s="12">
        <v>46237</v>
      </c>
      <c r="J22" s="13">
        <v>0.73611111111111116</v>
      </c>
      <c r="K22" s="11" t="str">
        <f t="shared" si="4"/>
        <v>Monday</v>
      </c>
      <c r="L22" s="11" t="str">
        <f t="shared" si="5"/>
        <v>0 Days 0.6 Hrs</v>
      </c>
      <c r="M22" s="12">
        <v>46238</v>
      </c>
      <c r="N22" s="13">
        <v>0.39513888888888887</v>
      </c>
      <c r="O22" s="11" t="str">
        <f t="shared" si="6"/>
        <v>Tuesday</v>
      </c>
      <c r="P22" s="11" t="str">
        <f t="shared" si="0"/>
        <v>0 Days 15.8 Hrs</v>
      </c>
      <c r="Q22" s="12">
        <v>46238</v>
      </c>
      <c r="R22" s="13">
        <v>0.48055555555555557</v>
      </c>
      <c r="S22" s="11" t="str">
        <f t="shared" si="7"/>
        <v>Tuesday</v>
      </c>
      <c r="T22" s="11" t="str">
        <f t="shared" si="1"/>
        <v>0 Days 2.1 Hrs</v>
      </c>
      <c r="U22" s="11"/>
      <c r="V22" s="11"/>
      <c r="W22" s="11"/>
      <c r="X22" s="12">
        <v>46238</v>
      </c>
      <c r="Y22" s="11" t="s">
        <v>174</v>
      </c>
      <c r="Z22" s="19" t="str">
        <f t="shared" si="8"/>
        <v>Tuesday</v>
      </c>
      <c r="AA22" s="11">
        <f t="shared" si="2"/>
        <v>1</v>
      </c>
    </row>
    <row r="23" spans="1:27" x14ac:dyDescent="0.25">
      <c r="A23" s="11">
        <v>21</v>
      </c>
      <c r="B23" s="11" t="s">
        <v>65</v>
      </c>
      <c r="C23" s="11">
        <v>110290</v>
      </c>
      <c r="D23" s="11" t="str">
        <f>VLOOKUP(B23,[1]Sheet1!$B$1028:$H$1180,7,0)</f>
        <v>BBZ</v>
      </c>
      <c r="E23" s="12">
        <v>46237</v>
      </c>
      <c r="F23" s="13">
        <v>0.73402777777777772</v>
      </c>
      <c r="G23" s="11" t="str">
        <f t="shared" si="3"/>
        <v>Monday</v>
      </c>
      <c r="H23" s="11"/>
      <c r="I23" s="12">
        <v>46237</v>
      </c>
      <c r="J23" s="13">
        <v>0.74722222222222223</v>
      </c>
      <c r="K23" s="11" t="str">
        <f t="shared" si="4"/>
        <v>Monday</v>
      </c>
      <c r="L23" s="11" t="str">
        <f t="shared" si="5"/>
        <v>0 Days 0.3 Hrs</v>
      </c>
      <c r="M23" s="12">
        <v>46238</v>
      </c>
      <c r="N23" s="13">
        <v>0.4</v>
      </c>
      <c r="O23" s="11" t="str">
        <f t="shared" si="6"/>
        <v>Tuesday</v>
      </c>
      <c r="P23" s="11" t="str">
        <f t="shared" si="0"/>
        <v>0 Days 15.7 Hrs</v>
      </c>
      <c r="Q23" s="12">
        <v>46239</v>
      </c>
      <c r="R23" s="13">
        <v>0.41458333333333336</v>
      </c>
      <c r="S23" s="11" t="str">
        <f t="shared" si="7"/>
        <v>Wednesday</v>
      </c>
      <c r="T23" s="11" t="str">
        <f t="shared" si="1"/>
        <v>1 Days 0.3 Hrs</v>
      </c>
      <c r="U23" s="11"/>
      <c r="V23" s="11"/>
      <c r="W23" s="11"/>
      <c r="X23" s="12">
        <v>46239</v>
      </c>
      <c r="Y23" s="11" t="s">
        <v>241</v>
      </c>
      <c r="Z23" s="19" t="str">
        <f t="shared" si="8"/>
        <v>Wednesday</v>
      </c>
      <c r="AA23" s="11">
        <f t="shared" si="2"/>
        <v>2</v>
      </c>
    </row>
    <row r="24" spans="1:27" x14ac:dyDescent="0.25">
      <c r="A24" s="11">
        <v>22</v>
      </c>
      <c r="B24" s="11" t="s">
        <v>66</v>
      </c>
      <c r="C24" s="11">
        <v>110288</v>
      </c>
      <c r="D24" s="11" t="str">
        <f>VLOOKUP(B24,[1]Sheet1!$B$1028:$H$1180,7,0)</f>
        <v>B&amp;M</v>
      </c>
      <c r="E24" s="12">
        <v>46237</v>
      </c>
      <c r="F24" s="13">
        <v>0.72291666666666665</v>
      </c>
      <c r="G24" s="11" t="str">
        <f t="shared" si="3"/>
        <v>Monday</v>
      </c>
      <c r="H24" s="11" t="s">
        <v>131</v>
      </c>
      <c r="I24" s="12">
        <v>46237</v>
      </c>
      <c r="J24" s="13">
        <v>0.86111111111111116</v>
      </c>
      <c r="K24" s="11" t="str">
        <f t="shared" si="4"/>
        <v>Monday</v>
      </c>
      <c r="L24" s="11" t="str">
        <f t="shared" si="5"/>
        <v>0 Days 3.3 Hrs</v>
      </c>
      <c r="M24" s="12">
        <v>46238</v>
      </c>
      <c r="N24" s="13">
        <v>0.39374999999999999</v>
      </c>
      <c r="O24" s="11" t="str">
        <f t="shared" si="6"/>
        <v>Tuesday</v>
      </c>
      <c r="P24" s="11" t="str">
        <f t="shared" si="0"/>
        <v>0 Days 12.8 Hrs</v>
      </c>
      <c r="Q24" s="12">
        <v>46239</v>
      </c>
      <c r="R24" s="13">
        <v>0.62986111111111109</v>
      </c>
      <c r="S24" s="11" t="str">
        <f t="shared" si="7"/>
        <v>Wednesday</v>
      </c>
      <c r="T24" s="11" t="str">
        <f t="shared" si="1"/>
        <v>1 Days 5.7 Hrs</v>
      </c>
      <c r="U24" s="11"/>
      <c r="V24" s="11"/>
      <c r="W24" s="11"/>
      <c r="X24" s="12">
        <v>46240</v>
      </c>
      <c r="Y24" s="11" t="s">
        <v>241</v>
      </c>
      <c r="Z24" s="19" t="str">
        <f t="shared" si="8"/>
        <v>Thursday</v>
      </c>
      <c r="AA24" s="11">
        <f t="shared" si="2"/>
        <v>3</v>
      </c>
    </row>
    <row r="25" spans="1:27" x14ac:dyDescent="0.25">
      <c r="A25" s="11">
        <v>23</v>
      </c>
      <c r="B25" s="11" t="s">
        <v>67</v>
      </c>
      <c r="C25" s="11">
        <v>110293</v>
      </c>
      <c r="D25" s="11" t="str">
        <f>VLOOKUP(B25,[1]Sheet1!$B$1028:$H$1180,7,0)</f>
        <v>R&amp;B</v>
      </c>
      <c r="E25" s="12">
        <v>46237</v>
      </c>
      <c r="F25" s="13">
        <v>0.75694444444444442</v>
      </c>
      <c r="G25" s="11" t="str">
        <f t="shared" si="3"/>
        <v>Monday</v>
      </c>
      <c r="H25" s="11" t="s">
        <v>131</v>
      </c>
      <c r="I25" s="12">
        <v>46237</v>
      </c>
      <c r="J25" s="13">
        <v>0.89236111111111116</v>
      </c>
      <c r="K25" s="11" t="str">
        <f t="shared" si="4"/>
        <v>Monday</v>
      </c>
      <c r="L25" s="11" t="str">
        <f t="shared" si="5"/>
        <v>0 Days 3.2 Hrs</v>
      </c>
      <c r="M25" s="12">
        <v>46238</v>
      </c>
      <c r="N25" s="13">
        <v>0.39583333333333331</v>
      </c>
      <c r="O25" s="11" t="str">
        <f t="shared" si="6"/>
        <v>Tuesday</v>
      </c>
      <c r="P25" s="11" t="str">
        <f t="shared" si="0"/>
        <v>0 Days 12.1 Hrs</v>
      </c>
      <c r="Q25" s="12">
        <v>46238</v>
      </c>
      <c r="R25" s="13">
        <v>0.48055555555555557</v>
      </c>
      <c r="S25" s="11" t="str">
        <f t="shared" si="7"/>
        <v>Tuesday</v>
      </c>
      <c r="T25" s="11" t="str">
        <f t="shared" si="1"/>
        <v>0 Days 2 Hrs</v>
      </c>
      <c r="U25" s="11"/>
      <c r="V25" s="11"/>
      <c r="W25" s="11"/>
      <c r="X25" s="12">
        <v>46238</v>
      </c>
      <c r="Y25" s="11" t="s">
        <v>241</v>
      </c>
      <c r="Z25" s="19" t="str">
        <f t="shared" si="8"/>
        <v>Tuesday</v>
      </c>
      <c r="AA25" s="11">
        <f t="shared" si="2"/>
        <v>1</v>
      </c>
    </row>
    <row r="26" spans="1:27" x14ac:dyDescent="0.25">
      <c r="A26" s="11">
        <v>24</v>
      </c>
      <c r="B26" s="11" t="s">
        <v>68</v>
      </c>
      <c r="C26" s="11">
        <v>110328</v>
      </c>
      <c r="D26" s="11" t="str">
        <f>VLOOKUP(B26,[1]Sheet1!$B$1028:$H$1180,7,0)</f>
        <v>Mix</v>
      </c>
      <c r="E26" s="12">
        <v>46238</v>
      </c>
      <c r="F26" s="13">
        <v>0.3888888888888889</v>
      </c>
      <c r="G26" s="11" t="str">
        <f t="shared" si="3"/>
        <v>Tuesday</v>
      </c>
      <c r="H26" s="11"/>
      <c r="I26" s="12">
        <v>46238</v>
      </c>
      <c r="J26" s="13">
        <v>0.40902777777777777</v>
      </c>
      <c r="K26" s="11" t="str">
        <f t="shared" si="4"/>
        <v>Tuesday</v>
      </c>
      <c r="L26" s="11" t="str">
        <f t="shared" si="5"/>
        <v>0 Days 0.5 Hrs</v>
      </c>
      <c r="M26" s="12">
        <v>46238</v>
      </c>
      <c r="N26" s="13">
        <v>0.46666666666666667</v>
      </c>
      <c r="O26" s="11" t="str">
        <f t="shared" si="6"/>
        <v>Tuesday</v>
      </c>
      <c r="P26" s="11" t="str">
        <f t="shared" si="0"/>
        <v>0 Days 1.4 Hrs</v>
      </c>
      <c r="Q26" s="12">
        <v>46239</v>
      </c>
      <c r="R26" s="13">
        <v>0.41458333333333336</v>
      </c>
      <c r="S26" s="11" t="str">
        <f t="shared" si="7"/>
        <v>Wednesday</v>
      </c>
      <c r="T26" s="11" t="str">
        <f t="shared" si="1"/>
        <v>0 Days 22.7 Hrs</v>
      </c>
      <c r="U26" s="11"/>
      <c r="V26" s="11"/>
      <c r="W26" s="11"/>
      <c r="X26" s="12">
        <v>46239</v>
      </c>
      <c r="Y26" s="11" t="s">
        <v>174</v>
      </c>
      <c r="Z26" s="19" t="str">
        <f t="shared" si="8"/>
        <v>Wednesday</v>
      </c>
      <c r="AA26" s="11">
        <f t="shared" si="2"/>
        <v>1</v>
      </c>
    </row>
    <row r="27" spans="1:27" x14ac:dyDescent="0.25">
      <c r="A27" s="11">
        <v>25</v>
      </c>
      <c r="B27" s="11" t="s">
        <v>69</v>
      </c>
      <c r="C27" s="11">
        <v>110330</v>
      </c>
      <c r="D27" s="11" t="str">
        <f>VLOOKUP(B27,[1]Sheet1!$B$1028:$H$1180,7,0)</f>
        <v>Mix</v>
      </c>
      <c r="E27" s="12">
        <v>46238</v>
      </c>
      <c r="F27" s="13">
        <v>0.3923611111111111</v>
      </c>
      <c r="G27" s="11" t="str">
        <f t="shared" si="3"/>
        <v>Tuesday</v>
      </c>
      <c r="H27" s="11"/>
      <c r="I27" s="12">
        <v>46238</v>
      </c>
      <c r="J27" s="13">
        <v>0.4236111111111111</v>
      </c>
      <c r="K27" s="11" t="str">
        <f t="shared" si="4"/>
        <v>Tuesday</v>
      </c>
      <c r="L27" s="11" t="str">
        <f t="shared" si="5"/>
        <v>0 Days 0.8 Hrs</v>
      </c>
      <c r="M27" s="12">
        <v>46238</v>
      </c>
      <c r="N27" s="13">
        <v>0.45833333333333331</v>
      </c>
      <c r="O27" s="11" t="str">
        <f t="shared" si="6"/>
        <v>Tuesday</v>
      </c>
      <c r="P27" s="11" t="str">
        <f t="shared" si="0"/>
        <v>0 Days 0.8 Hrs</v>
      </c>
      <c r="Q27" s="12">
        <v>46239</v>
      </c>
      <c r="R27" s="13">
        <v>0.4152777777777778</v>
      </c>
      <c r="S27" s="11" t="str">
        <f t="shared" si="7"/>
        <v>Wednesday</v>
      </c>
      <c r="T27" s="11" t="str">
        <f t="shared" si="1"/>
        <v>0 Days 23 Hrs</v>
      </c>
      <c r="U27" s="11"/>
      <c r="V27" s="11"/>
      <c r="W27" s="11"/>
      <c r="X27" s="12">
        <v>46239</v>
      </c>
      <c r="Y27" s="11" t="s">
        <v>241</v>
      </c>
      <c r="Z27" s="19" t="str">
        <f t="shared" si="8"/>
        <v>Wednesday</v>
      </c>
      <c r="AA27" s="11">
        <f t="shared" si="2"/>
        <v>1</v>
      </c>
    </row>
    <row r="28" spans="1:27" x14ac:dyDescent="0.25">
      <c r="A28" s="11">
        <v>26</v>
      </c>
      <c r="B28" s="11" t="s">
        <v>70</v>
      </c>
      <c r="C28" s="11">
        <v>110326</v>
      </c>
      <c r="D28" s="11" t="str">
        <f>VLOOKUP(B28,[1]Sheet1!$B$1028:$H$1180,7,0)</f>
        <v>KOTON &amp; MIX</v>
      </c>
      <c r="E28" s="12">
        <v>46238</v>
      </c>
      <c r="F28" s="13">
        <v>0.38541666666666669</v>
      </c>
      <c r="G28" s="11" t="str">
        <f t="shared" si="3"/>
        <v>Tuesday</v>
      </c>
      <c r="H28" s="11"/>
      <c r="I28" s="12">
        <v>46238</v>
      </c>
      <c r="J28" s="13">
        <v>0.55347222222222225</v>
      </c>
      <c r="K28" s="11" t="str">
        <f t="shared" si="4"/>
        <v>Tuesday</v>
      </c>
      <c r="L28" s="11" t="str">
        <f t="shared" si="5"/>
        <v>0 Days 4 Hrs</v>
      </c>
      <c r="M28" s="12">
        <v>46238</v>
      </c>
      <c r="N28" s="13">
        <v>0.63749999999999996</v>
      </c>
      <c r="O28" s="11" t="str">
        <f t="shared" si="6"/>
        <v>Tuesday</v>
      </c>
      <c r="P28" s="11" t="str">
        <f t="shared" si="0"/>
        <v>0 Days 2 Hrs</v>
      </c>
      <c r="Q28" s="12">
        <v>46238</v>
      </c>
      <c r="R28" s="13">
        <v>0.72430555555555554</v>
      </c>
      <c r="S28" s="11" t="str">
        <f t="shared" si="7"/>
        <v>Tuesday</v>
      </c>
      <c r="T28" s="11" t="str">
        <f t="shared" si="1"/>
        <v>0 Days 2.1 Hrs</v>
      </c>
      <c r="U28" s="11"/>
      <c r="V28" s="11"/>
      <c r="W28" s="11"/>
      <c r="X28" s="12">
        <v>46239</v>
      </c>
      <c r="Y28" s="11" t="s">
        <v>174</v>
      </c>
      <c r="Z28" s="11"/>
      <c r="AA28" s="11">
        <f t="shared" si="2"/>
        <v>1</v>
      </c>
    </row>
    <row r="29" spans="1:27" x14ac:dyDescent="0.25">
      <c r="A29" s="11">
        <v>27</v>
      </c>
      <c r="B29" s="11" t="s">
        <v>71</v>
      </c>
      <c r="C29" s="11">
        <v>110335</v>
      </c>
      <c r="D29" s="11" t="str">
        <f>VLOOKUP(B29,[1]Sheet1!$B$1028:$H$1180,7,0)</f>
        <v>DP</v>
      </c>
      <c r="E29" s="12">
        <v>46238</v>
      </c>
      <c r="F29" s="13">
        <v>0.41666666666666669</v>
      </c>
      <c r="G29" s="11" t="str">
        <f t="shared" si="3"/>
        <v>Tuesday</v>
      </c>
      <c r="H29" s="12" t="s">
        <v>135</v>
      </c>
      <c r="I29" s="12">
        <v>46238</v>
      </c>
      <c r="J29" s="13">
        <v>0.67500000000000004</v>
      </c>
      <c r="K29" s="11" t="str">
        <f t="shared" si="4"/>
        <v>Tuesday</v>
      </c>
      <c r="L29" s="11" t="str">
        <f t="shared" si="5"/>
        <v>0 Days 6.2 Hrs</v>
      </c>
      <c r="M29" s="12">
        <v>46239</v>
      </c>
      <c r="N29" s="13">
        <v>0.39861111111111114</v>
      </c>
      <c r="O29" s="11" t="str">
        <f t="shared" si="6"/>
        <v>Wednesday</v>
      </c>
      <c r="P29" s="11" t="str">
        <f t="shared" si="0"/>
        <v>0 Days 17.4 Hrs</v>
      </c>
      <c r="Q29" s="12">
        <v>46239</v>
      </c>
      <c r="R29" s="13">
        <v>0.41111111111111109</v>
      </c>
      <c r="S29" s="11" t="str">
        <f t="shared" si="7"/>
        <v>Wednesday</v>
      </c>
      <c r="T29" s="11" t="str">
        <f t="shared" si="1"/>
        <v>0 Days 0.3 Hrs</v>
      </c>
      <c r="U29" s="11"/>
      <c r="V29" s="11"/>
      <c r="W29" s="11"/>
      <c r="X29" s="12">
        <v>46243</v>
      </c>
      <c r="Y29" s="11" t="s">
        <v>241</v>
      </c>
      <c r="Z29" s="19" t="str">
        <f t="shared" ref="Z29:Z92" si="9">TEXT(X29,"dddd")</f>
        <v>Sunday</v>
      </c>
      <c r="AA29" s="11">
        <f t="shared" si="2"/>
        <v>5</v>
      </c>
    </row>
    <row r="30" spans="1:27" x14ac:dyDescent="0.25">
      <c r="A30" s="11">
        <v>28</v>
      </c>
      <c r="B30" s="11" t="s">
        <v>72</v>
      </c>
      <c r="C30" s="11" t="s">
        <v>10</v>
      </c>
      <c r="D30" s="11" t="str">
        <f>VLOOKUP(B30,[1]Sheet1!$B$1028:$H$1180,7,0)</f>
        <v>R&amp;B</v>
      </c>
      <c r="E30" s="12">
        <v>46238</v>
      </c>
      <c r="F30" s="13">
        <v>0.60763888888888884</v>
      </c>
      <c r="G30" s="11" t="str">
        <f t="shared" si="3"/>
        <v>Tuesday</v>
      </c>
      <c r="H30" s="11"/>
      <c r="I30" s="12">
        <v>46238</v>
      </c>
      <c r="J30" s="13">
        <v>0.62708333333333333</v>
      </c>
      <c r="K30" s="11" t="str">
        <f t="shared" si="4"/>
        <v>Tuesday</v>
      </c>
      <c r="L30" s="11" t="str">
        <f t="shared" si="5"/>
        <v>0 Days 0.5 Hrs</v>
      </c>
      <c r="M30" s="12">
        <v>46238</v>
      </c>
      <c r="N30" s="13">
        <v>0.73333333333333328</v>
      </c>
      <c r="O30" s="11" t="str">
        <f t="shared" si="6"/>
        <v>Tuesday</v>
      </c>
      <c r="P30" s="11" t="str">
        <f t="shared" si="0"/>
        <v>0 Days 2.5 Hrs</v>
      </c>
      <c r="Q30" s="12">
        <v>46239</v>
      </c>
      <c r="R30" s="13">
        <v>0.46944444444444444</v>
      </c>
      <c r="S30" s="11" t="str">
        <f t="shared" si="7"/>
        <v>Wednesday</v>
      </c>
      <c r="T30" s="11" t="str">
        <f t="shared" si="1"/>
        <v>0 Days 17.7 Hrs</v>
      </c>
      <c r="U30" s="11"/>
      <c r="V30" s="11"/>
      <c r="W30" s="11"/>
      <c r="X30" s="12">
        <v>46239</v>
      </c>
      <c r="Y30" s="11" t="s">
        <v>241</v>
      </c>
      <c r="Z30" s="19" t="str">
        <f t="shared" si="9"/>
        <v>Wednesday</v>
      </c>
      <c r="AA30" s="11">
        <f t="shared" si="2"/>
        <v>1</v>
      </c>
    </row>
    <row r="31" spans="1:27" x14ac:dyDescent="0.25">
      <c r="A31" s="11">
        <v>29</v>
      </c>
      <c r="B31" s="11" t="s">
        <v>73</v>
      </c>
      <c r="C31" s="11">
        <v>110357</v>
      </c>
      <c r="D31" s="11" t="str">
        <f>VLOOKUP(B31,[1]Sheet1!$B$1028:$H$1180,7,0)</f>
        <v>Mix</v>
      </c>
      <c r="E31" s="12">
        <v>46238</v>
      </c>
      <c r="F31" s="13">
        <v>0.72499999999999998</v>
      </c>
      <c r="G31" s="11" t="str">
        <f t="shared" si="3"/>
        <v>Tuesday</v>
      </c>
      <c r="H31" s="11" t="s">
        <v>131</v>
      </c>
      <c r="I31" s="12">
        <v>46239</v>
      </c>
      <c r="J31" s="13">
        <v>0.39097222222222222</v>
      </c>
      <c r="K31" s="11" t="str">
        <f t="shared" si="4"/>
        <v>Wednesday</v>
      </c>
      <c r="L31" s="11" t="str">
        <f t="shared" si="5"/>
        <v>0 Days 16 Hrs</v>
      </c>
      <c r="M31" s="12">
        <v>46239</v>
      </c>
      <c r="N31" s="13">
        <v>0.39097222222222222</v>
      </c>
      <c r="O31" s="11" t="str">
        <f t="shared" si="6"/>
        <v>Wednesday</v>
      </c>
      <c r="P31" s="11" t="str">
        <f t="shared" si="0"/>
        <v>0 Days 0 Hrs</v>
      </c>
      <c r="Q31" s="12">
        <v>46239</v>
      </c>
      <c r="R31" s="13">
        <v>0.4152777777777778</v>
      </c>
      <c r="S31" s="11" t="str">
        <f t="shared" si="7"/>
        <v>Wednesday</v>
      </c>
      <c r="T31" s="11" t="str">
        <f t="shared" si="1"/>
        <v>0 Days 0.6 Hrs</v>
      </c>
      <c r="U31" s="11"/>
      <c r="V31" s="11"/>
      <c r="W31" s="11"/>
      <c r="X31" s="12">
        <v>46239</v>
      </c>
      <c r="Y31" s="11" t="s">
        <v>174</v>
      </c>
      <c r="Z31" s="19" t="str">
        <f t="shared" si="9"/>
        <v>Wednesday</v>
      </c>
      <c r="AA31" s="11">
        <f t="shared" si="2"/>
        <v>1</v>
      </c>
    </row>
    <row r="32" spans="1:27" x14ac:dyDescent="0.25">
      <c r="A32" s="11">
        <v>30</v>
      </c>
      <c r="B32" s="11" t="s">
        <v>74</v>
      </c>
      <c r="C32" s="11">
        <v>110358</v>
      </c>
      <c r="D32" s="11" t="str">
        <f>VLOOKUP(B32,[1]Sheet1!$B$1028:$H$1180,7,0)</f>
        <v>Mix</v>
      </c>
      <c r="E32" s="12">
        <v>46238</v>
      </c>
      <c r="F32" s="13">
        <v>0.71111111111111114</v>
      </c>
      <c r="G32" s="11" t="str">
        <f t="shared" si="3"/>
        <v>Tuesday</v>
      </c>
      <c r="H32" s="11" t="s">
        <v>131</v>
      </c>
      <c r="I32" s="12">
        <v>46239</v>
      </c>
      <c r="J32" s="13">
        <v>0.47291666666666665</v>
      </c>
      <c r="K32" s="11" t="str">
        <f t="shared" si="4"/>
        <v>Wednesday</v>
      </c>
      <c r="L32" s="11" t="str">
        <f t="shared" si="5"/>
        <v>0 Days 18.3 Hrs</v>
      </c>
      <c r="M32" s="12">
        <v>46239</v>
      </c>
      <c r="N32" s="13">
        <v>0.68263888888888891</v>
      </c>
      <c r="O32" s="11" t="str">
        <f t="shared" si="6"/>
        <v>Wednesday</v>
      </c>
      <c r="P32" s="11" t="str">
        <f t="shared" si="0"/>
        <v>0 Days 5 Hrs</v>
      </c>
      <c r="Q32" s="12">
        <v>46239</v>
      </c>
      <c r="R32" s="13">
        <v>0.7</v>
      </c>
      <c r="S32" s="11" t="str">
        <f t="shared" si="7"/>
        <v>Wednesday</v>
      </c>
      <c r="T32" s="11" t="str">
        <f t="shared" si="1"/>
        <v>0 Days 0.4 Hrs</v>
      </c>
      <c r="U32" s="11"/>
      <c r="V32" s="11"/>
      <c r="W32" s="11"/>
      <c r="X32" s="12">
        <v>46240</v>
      </c>
      <c r="Y32" s="11" t="s">
        <v>174</v>
      </c>
      <c r="Z32" s="19" t="str">
        <f t="shared" si="9"/>
        <v>Thursday</v>
      </c>
      <c r="AA32" s="11">
        <f t="shared" si="2"/>
        <v>2</v>
      </c>
    </row>
    <row r="33" spans="1:27" x14ac:dyDescent="0.25">
      <c r="A33" s="11">
        <v>31</v>
      </c>
      <c r="B33" s="11" t="s">
        <v>75</v>
      </c>
      <c r="C33" s="11">
        <v>110361</v>
      </c>
      <c r="D33" s="11" t="str">
        <f>VLOOKUP(B33,[1]Sheet1!$B$1028:$H$1180,7,0)</f>
        <v>HAV&amp;LE</v>
      </c>
      <c r="E33" s="12">
        <v>46238</v>
      </c>
      <c r="F33" s="13">
        <v>0.74375000000000002</v>
      </c>
      <c r="G33" s="11" t="str">
        <f t="shared" si="3"/>
        <v>Tuesday</v>
      </c>
      <c r="H33" s="11"/>
      <c r="I33" s="12">
        <v>46238</v>
      </c>
      <c r="J33" s="13">
        <v>0.76527777777777772</v>
      </c>
      <c r="K33" s="11" t="str">
        <f t="shared" si="4"/>
        <v>Tuesday</v>
      </c>
      <c r="L33" s="11" t="str">
        <f t="shared" si="5"/>
        <v>0 Days 0.5 Hrs</v>
      </c>
      <c r="M33" s="12">
        <v>46239</v>
      </c>
      <c r="N33" s="13">
        <v>0.41597222222222224</v>
      </c>
      <c r="O33" s="11" t="str">
        <f t="shared" si="6"/>
        <v>Wednesday</v>
      </c>
      <c r="P33" s="11" t="str">
        <f t="shared" si="0"/>
        <v>0 Days 15.6 Hrs</v>
      </c>
      <c r="Q33" s="12">
        <v>46239</v>
      </c>
      <c r="R33" s="13">
        <v>0.42152777777777778</v>
      </c>
      <c r="S33" s="11" t="str">
        <f t="shared" si="7"/>
        <v>Wednesday</v>
      </c>
      <c r="T33" s="11" t="str">
        <f t="shared" si="1"/>
        <v>0 Days 0.1 Hrs</v>
      </c>
      <c r="U33" s="11"/>
      <c r="V33" s="11"/>
      <c r="W33" s="11"/>
      <c r="X33" s="12">
        <v>46239</v>
      </c>
      <c r="Y33" s="11" t="s">
        <v>241</v>
      </c>
      <c r="Z33" s="19" t="str">
        <f t="shared" si="9"/>
        <v>Wednesday</v>
      </c>
      <c r="AA33" s="11">
        <f t="shared" si="2"/>
        <v>1</v>
      </c>
    </row>
    <row r="34" spans="1:27" x14ac:dyDescent="0.25">
      <c r="A34" s="11">
        <v>32</v>
      </c>
      <c r="B34" s="11" t="s">
        <v>76</v>
      </c>
      <c r="C34" s="11">
        <v>110356</v>
      </c>
      <c r="D34" s="11" t="str">
        <f>VLOOKUP(B34,[1]Sheet1!$B$1028:$H$1180,7,0)</f>
        <v>Mix</v>
      </c>
      <c r="E34" s="12">
        <v>46238</v>
      </c>
      <c r="F34" s="13">
        <v>0.7006944444444444</v>
      </c>
      <c r="G34" s="11" t="str">
        <f t="shared" si="3"/>
        <v>Tuesday</v>
      </c>
      <c r="H34" s="14" t="s">
        <v>136</v>
      </c>
      <c r="I34" s="12">
        <v>46239</v>
      </c>
      <c r="J34" s="13">
        <v>0.4513888888888889</v>
      </c>
      <c r="K34" s="11" t="str">
        <f t="shared" si="4"/>
        <v>Wednesday</v>
      </c>
      <c r="L34" s="11" t="str">
        <f t="shared" si="5"/>
        <v>0 Days 18 Hrs</v>
      </c>
      <c r="M34" s="12">
        <v>46240</v>
      </c>
      <c r="N34" s="13">
        <v>0.40902777777777777</v>
      </c>
      <c r="O34" s="11" t="str">
        <f t="shared" si="6"/>
        <v>Thursday</v>
      </c>
      <c r="P34" s="11" t="str">
        <f t="shared" si="0"/>
        <v>0 Days 23 Hrs</v>
      </c>
      <c r="Q34" s="12">
        <v>46240</v>
      </c>
      <c r="R34" s="13">
        <v>0.42638888888888887</v>
      </c>
      <c r="S34" s="11" t="str">
        <f t="shared" si="7"/>
        <v>Thursday</v>
      </c>
      <c r="T34" s="11" t="str">
        <f t="shared" si="1"/>
        <v>0 Days 0.4 Hrs</v>
      </c>
      <c r="U34" s="11"/>
      <c r="V34" s="11"/>
      <c r="W34" s="11"/>
      <c r="X34" s="12">
        <v>46240</v>
      </c>
      <c r="Y34" s="11" t="s">
        <v>174</v>
      </c>
      <c r="Z34" s="19" t="str">
        <f t="shared" si="9"/>
        <v>Thursday</v>
      </c>
      <c r="AA34" s="11">
        <f t="shared" si="2"/>
        <v>2</v>
      </c>
    </row>
    <row r="35" spans="1:27" x14ac:dyDescent="0.25">
      <c r="A35" s="11">
        <v>33</v>
      </c>
      <c r="B35" s="11" t="s">
        <v>77</v>
      </c>
      <c r="C35" s="11">
        <v>110359</v>
      </c>
      <c r="D35" s="11" t="str">
        <f>VLOOKUP(B35,[1]Sheet1!$B$1028:$H$1180,7,0)</f>
        <v>Mix</v>
      </c>
      <c r="E35" s="12">
        <v>46238</v>
      </c>
      <c r="F35" s="13">
        <v>0.71736111111111112</v>
      </c>
      <c r="G35" s="11" t="str">
        <f t="shared" si="3"/>
        <v>Tuesday</v>
      </c>
      <c r="H35" s="11" t="s">
        <v>131</v>
      </c>
      <c r="I35" s="12">
        <v>46239</v>
      </c>
      <c r="J35" s="13">
        <v>0.41597222222222224</v>
      </c>
      <c r="K35" s="11" t="str">
        <f t="shared" si="4"/>
        <v>Wednesday</v>
      </c>
      <c r="L35" s="11" t="str">
        <f t="shared" si="5"/>
        <v>0 Days 16.8 Hrs</v>
      </c>
      <c r="M35" s="12">
        <v>46239</v>
      </c>
      <c r="N35" s="13">
        <v>0.58333333333333337</v>
      </c>
      <c r="O35" s="11" t="str">
        <f t="shared" si="6"/>
        <v>Wednesday</v>
      </c>
      <c r="P35" s="11" t="str">
        <f t="shared" si="0"/>
        <v>0 Days 4 Hrs</v>
      </c>
      <c r="Q35" s="12">
        <v>46239</v>
      </c>
      <c r="R35" s="13">
        <v>0.6791666666666667</v>
      </c>
      <c r="S35" s="11" t="str">
        <f t="shared" si="7"/>
        <v>Wednesday</v>
      </c>
      <c r="T35" s="11" t="str">
        <f t="shared" si="1"/>
        <v>0 Days 2.3 Hrs</v>
      </c>
      <c r="U35" s="11"/>
      <c r="V35" s="11"/>
      <c r="W35" s="11"/>
      <c r="X35" s="12">
        <v>46240</v>
      </c>
      <c r="Y35" s="11" t="s">
        <v>174</v>
      </c>
      <c r="Z35" s="19" t="str">
        <f t="shared" si="9"/>
        <v>Thursday</v>
      </c>
      <c r="AA35" s="11">
        <f t="shared" ref="AA35:AA66" si="10">X35-E35</f>
        <v>2</v>
      </c>
    </row>
    <row r="36" spans="1:27" x14ac:dyDescent="0.25">
      <c r="A36" s="11">
        <v>34</v>
      </c>
      <c r="B36" s="11" t="s">
        <v>78</v>
      </c>
      <c r="C36" s="11">
        <v>110374</v>
      </c>
      <c r="D36" s="11" t="str">
        <f>VLOOKUP(B36,[1]Sheet1!$B$1028:$H$1180,7,0)</f>
        <v>Mix</v>
      </c>
      <c r="E36" s="12">
        <v>46239</v>
      </c>
      <c r="F36" s="13">
        <v>0.37291666666666667</v>
      </c>
      <c r="G36" s="11" t="str">
        <f t="shared" si="3"/>
        <v>Wednesday</v>
      </c>
      <c r="H36" s="11" t="s">
        <v>131</v>
      </c>
      <c r="I36" s="12">
        <v>46239</v>
      </c>
      <c r="J36" s="13">
        <v>0.65972222222222221</v>
      </c>
      <c r="K36" s="11" t="str">
        <f t="shared" si="4"/>
        <v>Wednesday</v>
      </c>
      <c r="L36" s="11" t="str">
        <f t="shared" si="5"/>
        <v>0 Days 6.9 Hrs</v>
      </c>
      <c r="M36" s="12">
        <v>46240</v>
      </c>
      <c r="N36" s="13">
        <v>0.55347222222222225</v>
      </c>
      <c r="O36" s="11" t="str">
        <f t="shared" si="6"/>
        <v>Thursday</v>
      </c>
      <c r="P36" s="11" t="str">
        <f t="shared" si="0"/>
        <v>0 Days 21.5 Hrs</v>
      </c>
      <c r="Q36" s="12">
        <v>46240</v>
      </c>
      <c r="R36" s="13">
        <v>0.69305555555555554</v>
      </c>
      <c r="S36" s="11" t="str">
        <f t="shared" si="7"/>
        <v>Thursday</v>
      </c>
      <c r="T36" s="11" t="str">
        <f t="shared" si="1"/>
        <v>0 Days 3.4 Hrs</v>
      </c>
      <c r="U36" s="11"/>
      <c r="V36" s="11"/>
      <c r="W36" s="11"/>
      <c r="X36" s="12">
        <v>46242</v>
      </c>
      <c r="Y36" s="11" t="s">
        <v>174</v>
      </c>
      <c r="Z36" s="19" t="str">
        <f t="shared" si="9"/>
        <v>Saturday</v>
      </c>
      <c r="AA36" s="11">
        <f t="shared" si="10"/>
        <v>3</v>
      </c>
    </row>
    <row r="37" spans="1:27" x14ac:dyDescent="0.25">
      <c r="A37" s="11">
        <v>35</v>
      </c>
      <c r="B37" s="11" t="s">
        <v>79</v>
      </c>
      <c r="C37" s="11">
        <v>110376</v>
      </c>
      <c r="D37" s="11" t="str">
        <f>VLOOKUP(B37,[1]Sheet1!$B$1028:$H$1180,7,0)</f>
        <v>Mix</v>
      </c>
      <c r="E37" s="12">
        <v>46239</v>
      </c>
      <c r="F37" s="13">
        <v>0.38541666666666669</v>
      </c>
      <c r="G37" s="11" t="str">
        <f t="shared" si="3"/>
        <v>Wednesday</v>
      </c>
      <c r="H37" s="11" t="s">
        <v>131</v>
      </c>
      <c r="I37" s="12">
        <v>46239</v>
      </c>
      <c r="J37" s="13">
        <v>0.58611111111111114</v>
      </c>
      <c r="K37" s="11" t="str">
        <f t="shared" si="4"/>
        <v>Wednesday</v>
      </c>
      <c r="L37" s="11" t="str">
        <f t="shared" si="5"/>
        <v>0 Days 4.8 Hrs</v>
      </c>
      <c r="M37" s="12">
        <v>46239</v>
      </c>
      <c r="N37" s="13">
        <v>0.68402777777777779</v>
      </c>
      <c r="O37" s="11" t="str">
        <f t="shared" si="6"/>
        <v>Wednesday</v>
      </c>
      <c r="P37" s="11" t="str">
        <f t="shared" si="0"/>
        <v>0 Days 2.4 Hrs</v>
      </c>
      <c r="Q37" s="12">
        <v>46239</v>
      </c>
      <c r="R37" s="13">
        <v>0.69097222222222221</v>
      </c>
      <c r="S37" s="11" t="str">
        <f t="shared" si="7"/>
        <v>Wednesday</v>
      </c>
      <c r="T37" s="11" t="str">
        <f t="shared" si="1"/>
        <v>0 Days 0.2 Hrs</v>
      </c>
      <c r="U37" s="11"/>
      <c r="V37" s="11"/>
      <c r="W37" s="11"/>
      <c r="X37" s="12">
        <v>46240</v>
      </c>
      <c r="Y37" s="11" t="s">
        <v>174</v>
      </c>
      <c r="Z37" s="19" t="str">
        <f t="shared" si="9"/>
        <v>Thursday</v>
      </c>
      <c r="AA37" s="11">
        <f t="shared" si="10"/>
        <v>1</v>
      </c>
    </row>
    <row r="38" spans="1:27" x14ac:dyDescent="0.25">
      <c r="A38" s="11">
        <v>36</v>
      </c>
      <c r="B38" s="11" t="s">
        <v>80</v>
      </c>
      <c r="C38" s="11">
        <v>110379</v>
      </c>
      <c r="D38" s="11" t="str">
        <f>VLOOKUP(B38,[1]Sheet1!$B$1028:$H$1180,7,0)</f>
        <v>Mix</v>
      </c>
      <c r="E38" s="12">
        <v>46239</v>
      </c>
      <c r="F38" s="13">
        <v>0.38819444444444445</v>
      </c>
      <c r="G38" s="11" t="str">
        <f t="shared" si="3"/>
        <v>Wednesday</v>
      </c>
      <c r="H38" s="11"/>
      <c r="I38" s="12">
        <v>46239</v>
      </c>
      <c r="J38" s="13">
        <v>0.6069444444444444</v>
      </c>
      <c r="K38" s="11" t="str">
        <f t="shared" si="4"/>
        <v>Wednesday</v>
      </c>
      <c r="L38" s="11" t="str">
        <f t="shared" si="5"/>
        <v>0 Days 5.3 Hrs</v>
      </c>
      <c r="M38" s="12">
        <v>46239</v>
      </c>
      <c r="N38" s="13">
        <v>0.6875</v>
      </c>
      <c r="O38" s="11" t="str">
        <f t="shared" si="6"/>
        <v>Wednesday</v>
      </c>
      <c r="P38" s="11" t="str">
        <f t="shared" si="0"/>
        <v>0 Days 1.9 Hrs</v>
      </c>
      <c r="Q38" s="12">
        <v>46240</v>
      </c>
      <c r="R38" s="13">
        <v>0.4284722222222222</v>
      </c>
      <c r="S38" s="11" t="str">
        <f t="shared" si="7"/>
        <v>Thursday</v>
      </c>
      <c r="T38" s="11" t="str">
        <f t="shared" si="1"/>
        <v>0 Days 17.8 Hrs</v>
      </c>
      <c r="U38" s="11"/>
      <c r="V38" s="11"/>
      <c r="W38" s="11"/>
      <c r="X38" s="12">
        <v>46240</v>
      </c>
      <c r="Y38" s="11" t="s">
        <v>174</v>
      </c>
      <c r="Z38" s="19" t="str">
        <f t="shared" si="9"/>
        <v>Thursday</v>
      </c>
      <c r="AA38" s="11">
        <f t="shared" si="10"/>
        <v>1</v>
      </c>
    </row>
    <row r="39" spans="1:27" x14ac:dyDescent="0.25">
      <c r="A39" s="11">
        <v>37</v>
      </c>
      <c r="B39" s="11" t="s">
        <v>81</v>
      </c>
      <c r="C39" s="11">
        <v>110384</v>
      </c>
      <c r="D39" s="11" t="str">
        <f>VLOOKUP(B39,[1]Sheet1!$B$1028:$H$1180,7,0)</f>
        <v>Mix</v>
      </c>
      <c r="E39" s="12">
        <v>46239</v>
      </c>
      <c r="F39" s="13">
        <v>0.39444444444444443</v>
      </c>
      <c r="G39" s="11" t="str">
        <f t="shared" si="3"/>
        <v>Wednesday</v>
      </c>
      <c r="H39" s="11" t="s">
        <v>131</v>
      </c>
      <c r="I39" s="12">
        <v>46239</v>
      </c>
      <c r="J39" s="13">
        <v>0.62847222222222221</v>
      </c>
      <c r="K39" s="11" t="str">
        <f t="shared" si="4"/>
        <v>Wednesday</v>
      </c>
      <c r="L39" s="11" t="str">
        <f t="shared" si="5"/>
        <v>0 Days 5.6 Hrs</v>
      </c>
      <c r="M39" s="12">
        <v>46239</v>
      </c>
      <c r="N39" s="13">
        <v>0.70277777777777772</v>
      </c>
      <c r="O39" s="11" t="str">
        <f t="shared" si="6"/>
        <v>Wednesday</v>
      </c>
      <c r="P39" s="11" t="str">
        <f t="shared" si="0"/>
        <v>0 Days 1.8 Hrs</v>
      </c>
      <c r="Q39" s="12">
        <v>46240</v>
      </c>
      <c r="R39" s="13">
        <v>0.43125000000000002</v>
      </c>
      <c r="S39" s="11" t="str">
        <f t="shared" si="7"/>
        <v>Thursday</v>
      </c>
      <c r="T39" s="11" t="str">
        <f t="shared" si="1"/>
        <v>0 Days 17.5 Hrs</v>
      </c>
      <c r="U39" s="11"/>
      <c r="V39" s="11"/>
      <c r="W39" s="11"/>
      <c r="X39" s="12">
        <v>46240</v>
      </c>
      <c r="Y39" s="11" t="s">
        <v>174</v>
      </c>
      <c r="Z39" s="19" t="str">
        <f t="shared" si="9"/>
        <v>Thursday</v>
      </c>
      <c r="AA39" s="11">
        <f t="shared" si="10"/>
        <v>1</v>
      </c>
    </row>
    <row r="40" spans="1:27" x14ac:dyDescent="0.25">
      <c r="A40" s="11">
        <v>38</v>
      </c>
      <c r="B40" s="11" t="s">
        <v>82</v>
      </c>
      <c r="C40" s="11" t="s">
        <v>11</v>
      </c>
      <c r="D40" s="11" t="str">
        <f>VLOOKUP(B40,[1]Sheet1!$B$1028:$H$1180,7,0)</f>
        <v>NY</v>
      </c>
      <c r="E40" s="12">
        <v>46243</v>
      </c>
      <c r="F40" s="13"/>
      <c r="G40" s="11" t="str">
        <f t="shared" si="3"/>
        <v>Sunday</v>
      </c>
      <c r="H40" s="11"/>
      <c r="I40" s="12">
        <v>46243</v>
      </c>
      <c r="J40" s="13">
        <v>0.41666666666666669</v>
      </c>
      <c r="K40" s="11" t="str">
        <f t="shared" si="4"/>
        <v>Sunday</v>
      </c>
      <c r="L40" s="11" t="str">
        <f t="shared" si="5"/>
        <v>0 Days 10 Hrs</v>
      </c>
      <c r="M40" s="12">
        <v>46243</v>
      </c>
      <c r="N40" s="13">
        <v>0.49652777777777779</v>
      </c>
      <c r="O40" s="11" t="str">
        <f t="shared" si="6"/>
        <v>Sunday</v>
      </c>
      <c r="P40" s="11" t="str">
        <f t="shared" si="0"/>
        <v>0 Days 1.9 Hrs</v>
      </c>
      <c r="Q40" s="12">
        <v>46245</v>
      </c>
      <c r="R40" s="13">
        <v>0.42499999999999999</v>
      </c>
      <c r="S40" s="11" t="str">
        <f t="shared" si="7"/>
        <v>Tuesday</v>
      </c>
      <c r="T40" s="11" t="str">
        <f t="shared" si="1"/>
        <v>1 Days 22.3 Hrs</v>
      </c>
      <c r="U40" s="11"/>
      <c r="V40" s="11"/>
      <c r="W40" s="11"/>
      <c r="X40" s="12">
        <v>46245</v>
      </c>
      <c r="Y40" s="11" t="s">
        <v>241</v>
      </c>
      <c r="Z40" s="19" t="str">
        <f t="shared" si="9"/>
        <v>Tuesday</v>
      </c>
      <c r="AA40" s="11">
        <f t="shared" si="10"/>
        <v>2</v>
      </c>
    </row>
    <row r="41" spans="1:27" x14ac:dyDescent="0.25">
      <c r="A41" s="11">
        <v>39</v>
      </c>
      <c r="B41" s="11" t="s">
        <v>83</v>
      </c>
      <c r="C41" s="11">
        <v>110411</v>
      </c>
      <c r="D41" s="11" t="str">
        <f>VLOOKUP(B41,[1]Sheet1!$B$1028:$H$1180,7,0)</f>
        <v>Mix</v>
      </c>
      <c r="E41" s="12">
        <v>46239</v>
      </c>
      <c r="F41" s="13">
        <v>0.69791666666666663</v>
      </c>
      <c r="G41" s="11" t="str">
        <f t="shared" si="3"/>
        <v>Wednesday</v>
      </c>
      <c r="H41" s="11"/>
      <c r="I41" s="12">
        <v>46239</v>
      </c>
      <c r="J41" s="13">
        <v>0.72916666666666663</v>
      </c>
      <c r="K41" s="11" t="str">
        <f t="shared" si="4"/>
        <v>Wednesday</v>
      </c>
      <c r="L41" s="11" t="str">
        <f t="shared" si="5"/>
        <v>0 Days 0.8 Hrs</v>
      </c>
      <c r="M41" s="12">
        <v>46240</v>
      </c>
      <c r="N41" s="13">
        <v>0.40833333333333333</v>
      </c>
      <c r="O41" s="11" t="str">
        <f t="shared" si="6"/>
        <v>Thursday</v>
      </c>
      <c r="P41" s="11" t="str">
        <f t="shared" si="0"/>
        <v>0 Days 16.3 Hrs</v>
      </c>
      <c r="Q41" s="12">
        <v>46240</v>
      </c>
      <c r="R41" s="13">
        <v>0.43263888888888891</v>
      </c>
      <c r="S41" s="11" t="str">
        <f t="shared" si="7"/>
        <v>Thursday</v>
      </c>
      <c r="T41" s="11" t="str">
        <f t="shared" si="1"/>
        <v>0 Days 0.6 Hrs</v>
      </c>
      <c r="U41" s="11"/>
      <c r="V41" s="11"/>
      <c r="W41" s="11"/>
      <c r="X41" s="12">
        <v>46240</v>
      </c>
      <c r="Y41" s="11" t="s">
        <v>174</v>
      </c>
      <c r="Z41" s="19" t="str">
        <f t="shared" si="9"/>
        <v>Thursday</v>
      </c>
      <c r="AA41" s="11">
        <f t="shared" si="10"/>
        <v>1</v>
      </c>
    </row>
    <row r="42" spans="1:27" x14ac:dyDescent="0.25">
      <c r="A42" s="11">
        <v>40</v>
      </c>
      <c r="B42" s="11" t="s">
        <v>84</v>
      </c>
      <c r="C42" s="11">
        <v>110421</v>
      </c>
      <c r="D42" s="11" t="str">
        <f>VLOOKUP(B42,[1]Sheet1!$B$1028:$H$1180,7,0)</f>
        <v>BBZ</v>
      </c>
      <c r="E42" s="12">
        <v>46239</v>
      </c>
      <c r="F42" s="13">
        <v>0.72638888888888886</v>
      </c>
      <c r="G42" s="11" t="str">
        <f t="shared" si="3"/>
        <v>Wednesday</v>
      </c>
      <c r="H42" s="11"/>
      <c r="I42" s="12">
        <v>46239</v>
      </c>
      <c r="J42" s="13">
        <v>0.74722222222222223</v>
      </c>
      <c r="K42" s="11" t="str">
        <f t="shared" si="4"/>
        <v>Wednesday</v>
      </c>
      <c r="L42" s="11" t="str">
        <f t="shared" si="5"/>
        <v>0 Days 0.5 Hrs</v>
      </c>
      <c r="M42" s="12">
        <v>46240</v>
      </c>
      <c r="N42" s="13">
        <v>0.40833333333333333</v>
      </c>
      <c r="O42" s="11" t="str">
        <f t="shared" si="6"/>
        <v>Thursday</v>
      </c>
      <c r="P42" s="11" t="str">
        <f t="shared" si="0"/>
        <v>0 Days 15.9 Hrs</v>
      </c>
      <c r="Q42" s="12">
        <v>46240</v>
      </c>
      <c r="R42" s="13">
        <v>0.43680555555555556</v>
      </c>
      <c r="S42" s="11" t="str">
        <f t="shared" si="7"/>
        <v>Thursday</v>
      </c>
      <c r="T42" s="11" t="str">
        <f t="shared" si="1"/>
        <v>0 Days 0.7 Hrs</v>
      </c>
      <c r="U42" s="11"/>
      <c r="V42" s="11"/>
      <c r="W42" s="11"/>
      <c r="X42" s="12">
        <v>46240</v>
      </c>
      <c r="Y42" s="11" t="s">
        <v>241</v>
      </c>
      <c r="Z42" s="19" t="str">
        <f t="shared" si="9"/>
        <v>Thursday</v>
      </c>
      <c r="AA42" s="11">
        <f t="shared" si="10"/>
        <v>1</v>
      </c>
    </row>
    <row r="43" spans="1:27" x14ac:dyDescent="0.25">
      <c r="A43" s="11">
        <v>41</v>
      </c>
      <c r="B43" s="11" t="s">
        <v>85</v>
      </c>
      <c r="C43" s="11">
        <v>110412</v>
      </c>
      <c r="D43" s="11" t="str">
        <f>VLOOKUP(B43,[1]Sheet1!$B$1028:$H$1180,7,0)</f>
        <v>Mix</v>
      </c>
      <c r="E43" s="12">
        <v>46239</v>
      </c>
      <c r="F43" s="13">
        <v>0.70208333333333328</v>
      </c>
      <c r="G43" s="11" t="str">
        <f t="shared" si="3"/>
        <v>Wednesday</v>
      </c>
      <c r="H43" s="11"/>
      <c r="I43" s="12">
        <v>46239</v>
      </c>
      <c r="J43" s="13">
        <v>0.73958333333333337</v>
      </c>
      <c r="K43" s="11" t="str">
        <f t="shared" si="4"/>
        <v>Wednesday</v>
      </c>
      <c r="L43" s="11" t="str">
        <f t="shared" si="5"/>
        <v>0 Days 0.9 Hrs</v>
      </c>
      <c r="M43" s="12">
        <v>46240</v>
      </c>
      <c r="N43" s="13">
        <v>0.42152777777777778</v>
      </c>
      <c r="O43" s="11" t="str">
        <f t="shared" si="6"/>
        <v>Thursday</v>
      </c>
      <c r="P43" s="11" t="str">
        <f t="shared" si="0"/>
        <v>0 Days 16.4 Hrs</v>
      </c>
      <c r="Q43" s="12">
        <v>46240</v>
      </c>
      <c r="R43" s="13">
        <v>0.43472222222222223</v>
      </c>
      <c r="S43" s="11" t="str">
        <f t="shared" si="7"/>
        <v>Thursday</v>
      </c>
      <c r="T43" s="11" t="str">
        <f t="shared" si="1"/>
        <v>0 Days 0.3 Hrs</v>
      </c>
      <c r="U43" s="11"/>
      <c r="V43" s="11"/>
      <c r="W43" s="11"/>
      <c r="X43" s="12">
        <v>46240</v>
      </c>
      <c r="Y43" s="11" t="s">
        <v>174</v>
      </c>
      <c r="Z43" s="19" t="str">
        <f t="shared" si="9"/>
        <v>Thursday</v>
      </c>
      <c r="AA43" s="11">
        <f t="shared" si="10"/>
        <v>1</v>
      </c>
    </row>
    <row r="44" spans="1:27" x14ac:dyDescent="0.25">
      <c r="A44" s="11">
        <v>42</v>
      </c>
      <c r="B44" s="11" t="s">
        <v>86</v>
      </c>
      <c r="C44" s="11">
        <v>110415</v>
      </c>
      <c r="D44" s="11" t="str">
        <f>VLOOKUP(B44,[1]Sheet1!$B$1028:$H$1180,7,0)</f>
        <v>Mix</v>
      </c>
      <c r="E44" s="12">
        <v>46239</v>
      </c>
      <c r="F44" s="13">
        <v>0.71250000000000002</v>
      </c>
      <c r="G44" s="11" t="str">
        <f t="shared" si="3"/>
        <v>Wednesday</v>
      </c>
      <c r="H44" s="11"/>
      <c r="I44" s="12">
        <v>46239</v>
      </c>
      <c r="J44" s="13">
        <v>0.75763888888888886</v>
      </c>
      <c r="K44" s="11" t="str">
        <f t="shared" si="4"/>
        <v>Wednesday</v>
      </c>
      <c r="L44" s="11" t="str">
        <f t="shared" si="5"/>
        <v>0 Days 1.1 Hrs</v>
      </c>
      <c r="M44" s="12">
        <v>46240</v>
      </c>
      <c r="N44" s="13">
        <v>0.41111111111111109</v>
      </c>
      <c r="O44" s="11" t="str">
        <f t="shared" si="6"/>
        <v>Thursday</v>
      </c>
      <c r="P44" s="11" t="str">
        <f t="shared" si="0"/>
        <v>0 Days 15.7 Hrs</v>
      </c>
      <c r="Q44" s="12">
        <v>46240</v>
      </c>
      <c r="R44" s="13">
        <v>0.43611111111111112</v>
      </c>
      <c r="S44" s="11" t="str">
        <f t="shared" si="7"/>
        <v>Thursday</v>
      </c>
      <c r="T44" s="11" t="str">
        <f t="shared" si="1"/>
        <v>0 Days 0.6 Hrs</v>
      </c>
      <c r="U44" s="11"/>
      <c r="V44" s="11"/>
      <c r="W44" s="11"/>
      <c r="X44" s="12">
        <v>46240</v>
      </c>
      <c r="Y44" s="11" t="s">
        <v>174</v>
      </c>
      <c r="Z44" s="19" t="str">
        <f t="shared" si="9"/>
        <v>Thursday</v>
      </c>
      <c r="AA44" s="11">
        <f t="shared" si="10"/>
        <v>1</v>
      </c>
    </row>
    <row r="45" spans="1:27" x14ac:dyDescent="0.25">
      <c r="A45" s="11">
        <v>43</v>
      </c>
      <c r="B45" s="11" t="s">
        <v>87</v>
      </c>
      <c r="C45" s="11">
        <v>110413</v>
      </c>
      <c r="D45" s="11" t="str">
        <f>VLOOKUP(B45,[1]Sheet1!$B$1028:$H$1180,7,0)</f>
        <v>Mix</v>
      </c>
      <c r="E45" s="12">
        <v>46239</v>
      </c>
      <c r="F45" s="13">
        <v>0.7055555555555556</v>
      </c>
      <c r="G45" s="11" t="str">
        <f t="shared" si="3"/>
        <v>Wednesday</v>
      </c>
      <c r="H45" s="11" t="s">
        <v>131</v>
      </c>
      <c r="I45" s="12">
        <v>46240</v>
      </c>
      <c r="J45" s="13">
        <v>0.40486111111111112</v>
      </c>
      <c r="K45" s="11" t="str">
        <f t="shared" si="4"/>
        <v>Thursday</v>
      </c>
      <c r="L45" s="11" t="str">
        <f t="shared" si="5"/>
        <v>0 Days 16.8 Hrs</v>
      </c>
      <c r="M45" s="12">
        <v>46240</v>
      </c>
      <c r="N45" s="13">
        <v>0.48055555555555557</v>
      </c>
      <c r="O45" s="11" t="str">
        <f t="shared" si="6"/>
        <v>Thursday</v>
      </c>
      <c r="P45" s="11" t="str">
        <f t="shared" si="0"/>
        <v>0 Days 1.8 Hrs</v>
      </c>
      <c r="Q45" s="12">
        <v>46240</v>
      </c>
      <c r="R45" s="13">
        <v>0.69513888888888886</v>
      </c>
      <c r="S45" s="11" t="str">
        <f t="shared" si="7"/>
        <v>Thursday</v>
      </c>
      <c r="T45" s="11" t="str">
        <f t="shared" si="1"/>
        <v>0 Days 5.2 Hrs</v>
      </c>
      <c r="U45" s="11"/>
      <c r="V45" s="11"/>
      <c r="W45" s="11"/>
      <c r="X45" s="12">
        <v>46242</v>
      </c>
      <c r="Y45" s="11" t="s">
        <v>174</v>
      </c>
      <c r="Z45" s="19" t="str">
        <f t="shared" si="9"/>
        <v>Saturday</v>
      </c>
      <c r="AA45" s="11">
        <f t="shared" si="10"/>
        <v>3</v>
      </c>
    </row>
    <row r="46" spans="1:27" x14ac:dyDescent="0.25">
      <c r="A46" s="11">
        <v>44</v>
      </c>
      <c r="B46" s="11" t="s">
        <v>88</v>
      </c>
      <c r="C46" s="11">
        <v>110420</v>
      </c>
      <c r="D46" s="11" t="str">
        <f>VLOOKUP(B46,[1]Sheet1!$B$1028:$H$1180,7,0)</f>
        <v>Mix</v>
      </c>
      <c r="E46" s="12">
        <v>46239</v>
      </c>
      <c r="F46" s="13">
        <v>0.72291666666666665</v>
      </c>
      <c r="G46" s="11" t="str">
        <f t="shared" si="3"/>
        <v>Wednesday</v>
      </c>
      <c r="H46" s="11" t="s">
        <v>131</v>
      </c>
      <c r="I46" s="12">
        <v>46239</v>
      </c>
      <c r="J46" s="13">
        <v>0.7729166666666667</v>
      </c>
      <c r="K46" s="11" t="str">
        <f t="shared" si="4"/>
        <v>Wednesday</v>
      </c>
      <c r="L46" s="11" t="str">
        <f t="shared" si="5"/>
        <v>0 Days 1.2 Hrs</v>
      </c>
      <c r="M46" s="12">
        <v>46240</v>
      </c>
      <c r="N46" s="13">
        <v>0.4465277777777778</v>
      </c>
      <c r="O46" s="11" t="str">
        <f t="shared" si="6"/>
        <v>Thursday</v>
      </c>
      <c r="P46" s="11" t="str">
        <f t="shared" si="0"/>
        <v>0 Days 16.2 Hrs</v>
      </c>
      <c r="Q46" s="12">
        <v>46242</v>
      </c>
      <c r="R46" s="13">
        <v>0.4513888888888889</v>
      </c>
      <c r="S46" s="11" t="str">
        <f t="shared" si="7"/>
        <v>Saturday</v>
      </c>
      <c r="T46" s="11" t="str">
        <f t="shared" si="1"/>
        <v>2 Days 0.1 Hrs</v>
      </c>
      <c r="U46" s="11"/>
      <c r="V46" s="11"/>
      <c r="W46" s="11"/>
      <c r="X46" s="12">
        <v>46242</v>
      </c>
      <c r="Y46" s="11" t="s">
        <v>174</v>
      </c>
      <c r="Z46" s="19" t="str">
        <f t="shared" si="9"/>
        <v>Saturday</v>
      </c>
      <c r="AA46" s="11">
        <f t="shared" si="10"/>
        <v>3</v>
      </c>
    </row>
    <row r="47" spans="1:27" x14ac:dyDescent="0.25">
      <c r="A47" s="11">
        <v>45</v>
      </c>
      <c r="B47" s="11" t="s">
        <v>89</v>
      </c>
      <c r="C47" s="11">
        <v>110414</v>
      </c>
      <c r="D47" s="11" t="str">
        <f>VLOOKUP(B47,[1]Sheet1!$B$1028:$H$1180,7,0)</f>
        <v>Mix</v>
      </c>
      <c r="E47" s="12">
        <v>46239</v>
      </c>
      <c r="F47" s="13">
        <v>0.70972222222222225</v>
      </c>
      <c r="G47" s="11" t="str">
        <f t="shared" si="3"/>
        <v>Wednesday</v>
      </c>
      <c r="H47" s="11" t="s">
        <v>131</v>
      </c>
      <c r="I47" s="12">
        <v>46240</v>
      </c>
      <c r="J47" s="13">
        <v>0.45208333333333334</v>
      </c>
      <c r="K47" s="11" t="str">
        <f t="shared" si="4"/>
        <v>Thursday</v>
      </c>
      <c r="L47" s="11" t="str">
        <f t="shared" si="5"/>
        <v>0 Days 17.8 Hrs</v>
      </c>
      <c r="M47" s="12">
        <v>46242</v>
      </c>
      <c r="N47" s="13">
        <v>0.43958333333333333</v>
      </c>
      <c r="O47" s="11" t="str">
        <f t="shared" si="6"/>
        <v>Saturday</v>
      </c>
      <c r="P47" s="11" t="str">
        <f t="shared" si="0"/>
        <v>1 Days 23.7 Hrs</v>
      </c>
      <c r="Q47" s="12">
        <v>46242</v>
      </c>
      <c r="R47" s="13">
        <v>0.44861111111111113</v>
      </c>
      <c r="S47" s="11" t="str">
        <f t="shared" si="7"/>
        <v>Saturday</v>
      </c>
      <c r="T47" s="11" t="str">
        <f t="shared" si="1"/>
        <v>0 Days 0.2 Hrs</v>
      </c>
      <c r="U47" s="11"/>
      <c r="V47" s="11"/>
      <c r="W47" s="11"/>
      <c r="X47" s="12">
        <v>46242</v>
      </c>
      <c r="Y47" s="11" t="s">
        <v>174</v>
      </c>
      <c r="Z47" s="19" t="str">
        <f t="shared" si="9"/>
        <v>Saturday</v>
      </c>
      <c r="AA47" s="11">
        <f t="shared" si="10"/>
        <v>3</v>
      </c>
    </row>
    <row r="48" spans="1:27" x14ac:dyDescent="0.25">
      <c r="A48" s="11">
        <v>46</v>
      </c>
      <c r="B48" s="11" t="s">
        <v>90</v>
      </c>
      <c r="C48" s="11">
        <v>110416</v>
      </c>
      <c r="D48" s="11" t="str">
        <f>VLOOKUP(B48,[1]Sheet1!$B$1028:$H$1180,7,0)</f>
        <v>Mix</v>
      </c>
      <c r="E48" s="12">
        <v>46239</v>
      </c>
      <c r="F48" s="13">
        <v>0.71527777777777779</v>
      </c>
      <c r="G48" s="11" t="str">
        <f t="shared" si="3"/>
        <v>Wednesday</v>
      </c>
      <c r="H48" s="11" t="s">
        <v>131</v>
      </c>
      <c r="I48" s="12">
        <v>46240</v>
      </c>
      <c r="J48" s="13">
        <v>0.51458333333333328</v>
      </c>
      <c r="K48" s="11" t="str">
        <f t="shared" si="4"/>
        <v>Thursday</v>
      </c>
      <c r="L48" s="11" t="str">
        <f t="shared" si="5"/>
        <v>0 Days 19.2 Hrs</v>
      </c>
      <c r="M48" s="12">
        <v>46240</v>
      </c>
      <c r="N48" s="13">
        <v>0.30277777777777776</v>
      </c>
      <c r="O48" s="11" t="str">
        <f t="shared" si="6"/>
        <v>Thursday</v>
      </c>
      <c r="P48" s="11" t="str">
        <f t="shared" si="0"/>
        <v>-1 Days 18.9 Hrs</v>
      </c>
      <c r="Q48" s="12">
        <v>46242</v>
      </c>
      <c r="R48" s="13">
        <v>0.40208333333333335</v>
      </c>
      <c r="S48" s="11" t="str">
        <f t="shared" si="7"/>
        <v>Saturday</v>
      </c>
      <c r="T48" s="11" t="str">
        <f t="shared" si="1"/>
        <v>2 Days 2.4 Hrs</v>
      </c>
      <c r="U48" s="11"/>
      <c r="V48" s="11"/>
      <c r="W48" s="11"/>
      <c r="X48" s="12">
        <v>46242</v>
      </c>
      <c r="Y48" s="11" t="s">
        <v>174</v>
      </c>
      <c r="Z48" s="19" t="str">
        <f t="shared" si="9"/>
        <v>Saturday</v>
      </c>
      <c r="AA48" s="11">
        <f t="shared" si="10"/>
        <v>3</v>
      </c>
    </row>
    <row r="49" spans="1:27" x14ac:dyDescent="0.25">
      <c r="A49" s="11">
        <v>47</v>
      </c>
      <c r="B49" s="11" t="s">
        <v>91</v>
      </c>
      <c r="C49" s="11">
        <v>110419</v>
      </c>
      <c r="D49" s="11" t="str">
        <f>VLOOKUP(B49,[1]Sheet1!$B$1028:$H$1180,7,0)</f>
        <v>Mix</v>
      </c>
      <c r="E49" s="12">
        <v>46239</v>
      </c>
      <c r="F49" s="13">
        <v>0.72013888888888888</v>
      </c>
      <c r="G49" s="11" t="str">
        <f t="shared" si="3"/>
        <v>Wednesday</v>
      </c>
      <c r="H49" s="11" t="s">
        <v>131</v>
      </c>
      <c r="I49" s="12">
        <v>46240</v>
      </c>
      <c r="J49" s="13">
        <v>0.53125</v>
      </c>
      <c r="K49" s="11" t="str">
        <f t="shared" si="4"/>
        <v>Thursday</v>
      </c>
      <c r="L49" s="11" t="str">
        <f t="shared" si="5"/>
        <v>0 Days 19.5 Hrs</v>
      </c>
      <c r="M49" s="12">
        <v>46240</v>
      </c>
      <c r="N49" s="13">
        <v>0.67708333333333337</v>
      </c>
      <c r="O49" s="11" t="str">
        <f t="shared" si="6"/>
        <v>Thursday</v>
      </c>
      <c r="P49" s="11" t="str">
        <f t="shared" si="0"/>
        <v>0 Days 3.5 Hrs</v>
      </c>
      <c r="Q49" s="12">
        <v>46240</v>
      </c>
      <c r="R49" s="13">
        <v>0.69027777777777777</v>
      </c>
      <c r="S49" s="11" t="str">
        <f t="shared" si="7"/>
        <v>Thursday</v>
      </c>
      <c r="T49" s="11" t="str">
        <f t="shared" si="1"/>
        <v>0 Days 0.3 Hrs</v>
      </c>
      <c r="U49" s="11"/>
      <c r="V49" s="11"/>
      <c r="W49" s="11"/>
      <c r="X49" s="12">
        <v>46242</v>
      </c>
      <c r="Y49" s="11" t="s">
        <v>174</v>
      </c>
      <c r="Z49" s="19" t="str">
        <f t="shared" si="9"/>
        <v>Saturday</v>
      </c>
      <c r="AA49" s="11">
        <f t="shared" si="10"/>
        <v>3</v>
      </c>
    </row>
    <row r="50" spans="1:27" x14ac:dyDescent="0.25">
      <c r="A50" s="11">
        <v>48</v>
      </c>
      <c r="B50" s="11" t="s">
        <v>92</v>
      </c>
      <c r="C50" s="11">
        <v>110451</v>
      </c>
      <c r="D50" s="11" t="str">
        <f>VLOOKUP(B50,[1]Sheet1!$B$1028:$H$1180,7,0)</f>
        <v>Mix</v>
      </c>
      <c r="E50" s="12">
        <v>46240</v>
      </c>
      <c r="F50" s="13">
        <v>0.39791666666666664</v>
      </c>
      <c r="G50" s="11" t="str">
        <f t="shared" si="3"/>
        <v>Thursday</v>
      </c>
      <c r="H50" s="11"/>
      <c r="I50" s="12">
        <v>46240</v>
      </c>
      <c r="J50" s="13">
        <v>0.54305555555555551</v>
      </c>
      <c r="K50" s="11" t="str">
        <f t="shared" si="4"/>
        <v>Thursday</v>
      </c>
      <c r="L50" s="11" t="str">
        <f t="shared" si="5"/>
        <v>0 Days 3.5 Hrs</v>
      </c>
      <c r="M50" s="12">
        <v>46242</v>
      </c>
      <c r="N50" s="13">
        <v>0.30277777777777776</v>
      </c>
      <c r="O50" s="11" t="str">
        <f t="shared" si="6"/>
        <v>Saturday</v>
      </c>
      <c r="P50" s="11" t="str">
        <f t="shared" si="0"/>
        <v>1 Days 18.2 Hrs</v>
      </c>
      <c r="Q50" s="12">
        <v>46242</v>
      </c>
      <c r="R50" s="13">
        <v>0.40416666666666667</v>
      </c>
      <c r="S50" s="11" t="str">
        <f t="shared" si="7"/>
        <v>Saturday</v>
      </c>
      <c r="T50" s="11" t="str">
        <f t="shared" si="1"/>
        <v>0 Days 2.4 Hrs</v>
      </c>
      <c r="U50" s="11"/>
      <c r="V50" s="11"/>
      <c r="W50" s="11"/>
      <c r="X50" s="12">
        <v>46242</v>
      </c>
      <c r="Y50" s="11" t="s">
        <v>174</v>
      </c>
      <c r="Z50" s="19" t="str">
        <f t="shared" si="9"/>
        <v>Saturday</v>
      </c>
      <c r="AA50" s="11">
        <f t="shared" si="10"/>
        <v>2</v>
      </c>
    </row>
    <row r="51" spans="1:27" x14ac:dyDescent="0.25">
      <c r="A51" s="11">
        <v>49</v>
      </c>
      <c r="B51" s="11" t="s">
        <v>93</v>
      </c>
      <c r="C51" s="11">
        <v>110443</v>
      </c>
      <c r="D51" s="11" t="str">
        <f>VLOOKUP(B51,[1]Sheet1!$B$1028:$H$1180,7,0)</f>
        <v>Mix</v>
      </c>
      <c r="E51" s="12">
        <v>46240</v>
      </c>
      <c r="F51" s="13">
        <v>0.37708333333333333</v>
      </c>
      <c r="G51" s="11" t="str">
        <f t="shared" si="3"/>
        <v>Thursday</v>
      </c>
      <c r="H51" s="11"/>
      <c r="I51" s="12">
        <v>46240</v>
      </c>
      <c r="J51" s="13">
        <v>0.55277777777777781</v>
      </c>
      <c r="K51" s="11" t="str">
        <f t="shared" si="4"/>
        <v>Thursday</v>
      </c>
      <c r="L51" s="11" t="str">
        <f t="shared" si="5"/>
        <v>0 Days 4.2 Hrs</v>
      </c>
      <c r="M51" s="12">
        <v>46240</v>
      </c>
      <c r="N51" s="13">
        <v>0.68125000000000002</v>
      </c>
      <c r="O51" s="11" t="str">
        <f t="shared" si="6"/>
        <v>Thursday</v>
      </c>
      <c r="P51" s="11" t="str">
        <f t="shared" si="0"/>
        <v>0 Days 3.1 Hrs</v>
      </c>
      <c r="Q51" s="12">
        <v>46242</v>
      </c>
      <c r="R51" s="13">
        <v>0.45208333333333334</v>
      </c>
      <c r="S51" s="11" t="str">
        <f t="shared" si="7"/>
        <v>Saturday</v>
      </c>
      <c r="T51" s="11" t="str">
        <f t="shared" si="1"/>
        <v>1 Days 18.5 Hrs</v>
      </c>
      <c r="U51" s="11"/>
      <c r="V51" s="11"/>
      <c r="W51" s="11"/>
      <c r="X51" s="12">
        <v>46242</v>
      </c>
      <c r="Y51" s="11" t="s">
        <v>174</v>
      </c>
      <c r="Z51" s="19" t="str">
        <f t="shared" si="9"/>
        <v>Saturday</v>
      </c>
      <c r="AA51" s="11">
        <f t="shared" si="10"/>
        <v>2</v>
      </c>
    </row>
    <row r="52" spans="1:27" x14ac:dyDescent="0.25">
      <c r="A52" s="11">
        <v>50</v>
      </c>
      <c r="B52" s="11" t="s">
        <v>94</v>
      </c>
      <c r="C52" s="11">
        <v>110445</v>
      </c>
      <c r="D52" s="11" t="str">
        <f>VLOOKUP(B52,[1]Sheet1!$B$1028:$H$1180,7,0)</f>
        <v>Mix</v>
      </c>
      <c r="E52" s="12">
        <v>46240</v>
      </c>
      <c r="F52" s="13">
        <v>0.38263888888888886</v>
      </c>
      <c r="G52" s="11" t="str">
        <f t="shared" si="3"/>
        <v>Thursday</v>
      </c>
      <c r="H52" s="11"/>
      <c r="I52" s="12">
        <v>46240</v>
      </c>
      <c r="J52" s="13">
        <v>0.55972222222222223</v>
      </c>
      <c r="K52" s="11" t="str">
        <f t="shared" si="4"/>
        <v>Thursday</v>
      </c>
      <c r="L52" s="11" t="str">
        <f t="shared" si="5"/>
        <v>0 Days 4.2 Hrs</v>
      </c>
      <c r="M52" s="12">
        <v>46242</v>
      </c>
      <c r="N52" s="13">
        <v>0.3034722222222222</v>
      </c>
      <c r="O52" s="11" t="str">
        <f t="shared" si="6"/>
        <v>Saturday</v>
      </c>
      <c r="P52" s="11" t="str">
        <f t="shared" si="0"/>
        <v>1 Days 17.9 Hrs</v>
      </c>
      <c r="Q52" s="12">
        <v>46242</v>
      </c>
      <c r="R52" s="13">
        <v>0.40347222222222223</v>
      </c>
      <c r="S52" s="11" t="str">
        <f t="shared" si="7"/>
        <v>Saturday</v>
      </c>
      <c r="T52" s="11" t="str">
        <f t="shared" si="1"/>
        <v>0 Days 2.4 Hrs</v>
      </c>
      <c r="U52" s="11"/>
      <c r="V52" s="11"/>
      <c r="W52" s="11"/>
      <c r="X52" s="12">
        <v>46242</v>
      </c>
      <c r="Y52" s="11" t="s">
        <v>174</v>
      </c>
      <c r="Z52" s="19" t="str">
        <f t="shared" si="9"/>
        <v>Saturday</v>
      </c>
      <c r="AA52" s="11">
        <f t="shared" si="10"/>
        <v>2</v>
      </c>
    </row>
    <row r="53" spans="1:27" x14ac:dyDescent="0.25">
      <c r="A53" s="11">
        <v>51</v>
      </c>
      <c r="B53" s="11" t="s">
        <v>95</v>
      </c>
      <c r="C53" s="11">
        <v>110448</v>
      </c>
      <c r="D53" s="11" t="str">
        <f>VLOOKUP(B53,[1]Sheet1!$B$1028:$H$1180,7,0)</f>
        <v>Mix</v>
      </c>
      <c r="E53" s="12">
        <v>46240</v>
      </c>
      <c r="F53" s="13">
        <v>0.3888888888888889</v>
      </c>
      <c r="G53" s="11" t="str">
        <f t="shared" si="3"/>
        <v>Thursday</v>
      </c>
      <c r="H53" s="11" t="s">
        <v>131</v>
      </c>
      <c r="I53" s="12">
        <v>46240</v>
      </c>
      <c r="J53" s="13">
        <v>0.63611111111111107</v>
      </c>
      <c r="K53" s="11" t="str">
        <f t="shared" si="4"/>
        <v>Thursday</v>
      </c>
      <c r="L53" s="11" t="str">
        <f t="shared" si="5"/>
        <v>0 Days 5.9 Hrs</v>
      </c>
      <c r="M53" s="12">
        <v>46242</v>
      </c>
      <c r="N53" s="13">
        <v>0.50416666666666665</v>
      </c>
      <c r="O53" s="11" t="str">
        <f t="shared" si="6"/>
        <v>Saturday</v>
      </c>
      <c r="P53" s="11" t="str">
        <f t="shared" si="0"/>
        <v>1 Days 20.8 Hrs</v>
      </c>
      <c r="Q53" s="12">
        <v>46242</v>
      </c>
      <c r="R53" s="13">
        <v>0.50555555555555554</v>
      </c>
      <c r="S53" s="11" t="str">
        <f t="shared" si="7"/>
        <v>Saturday</v>
      </c>
      <c r="T53" s="11" t="str">
        <f t="shared" si="1"/>
        <v>0 Days 0 Hrs</v>
      </c>
      <c r="U53" s="11"/>
      <c r="V53" s="11"/>
      <c r="W53" s="11"/>
      <c r="X53" s="12">
        <v>46242</v>
      </c>
      <c r="Y53" s="11" t="s">
        <v>174</v>
      </c>
      <c r="Z53" s="19" t="str">
        <f t="shared" si="9"/>
        <v>Saturday</v>
      </c>
      <c r="AA53" s="11">
        <f t="shared" si="10"/>
        <v>2</v>
      </c>
    </row>
    <row r="54" spans="1:27" x14ac:dyDescent="0.25">
      <c r="A54" s="11">
        <v>52</v>
      </c>
      <c r="B54" s="11" t="s">
        <v>96</v>
      </c>
      <c r="C54" s="11">
        <v>110444</v>
      </c>
      <c r="D54" s="11" t="str">
        <f>VLOOKUP(B54,[1]Sheet1!$B$1028:$H$1180,7,0)</f>
        <v>DP</v>
      </c>
      <c r="E54" s="12">
        <v>46240</v>
      </c>
      <c r="F54" s="13">
        <v>0.37986111111111109</v>
      </c>
      <c r="G54" s="11" t="str">
        <f t="shared" si="3"/>
        <v>Thursday</v>
      </c>
      <c r="H54" s="13" t="s">
        <v>137</v>
      </c>
      <c r="I54" s="12">
        <v>46242</v>
      </c>
      <c r="J54" s="13">
        <v>6.6666666666666666E-2</v>
      </c>
      <c r="K54" s="11" t="str">
        <f t="shared" si="4"/>
        <v>Saturday</v>
      </c>
      <c r="L54" s="11" t="str">
        <f t="shared" si="5"/>
        <v>1 Days 16.5 Hrs</v>
      </c>
      <c r="M54" s="12">
        <v>46242</v>
      </c>
      <c r="N54" s="13">
        <v>0.47847222222222224</v>
      </c>
      <c r="O54" s="11" t="str">
        <f t="shared" si="6"/>
        <v>Saturday</v>
      </c>
      <c r="P54" s="11" t="str">
        <f t="shared" si="0"/>
        <v>0 Days 9.9 Hrs</v>
      </c>
      <c r="Q54" s="12">
        <v>46242</v>
      </c>
      <c r="R54" s="13">
        <v>0.54652777777777772</v>
      </c>
      <c r="S54" s="11" t="str">
        <f t="shared" si="7"/>
        <v>Saturday</v>
      </c>
      <c r="T54" s="11" t="str">
        <f t="shared" si="1"/>
        <v>0 Days 1.6 Hrs</v>
      </c>
      <c r="U54" s="11"/>
      <c r="V54" s="11"/>
      <c r="W54" s="11"/>
      <c r="X54" s="12">
        <v>46244</v>
      </c>
      <c r="Y54" s="11" t="s">
        <v>241</v>
      </c>
      <c r="Z54" s="19" t="str">
        <f t="shared" si="9"/>
        <v>Monday</v>
      </c>
      <c r="AA54" s="11">
        <f t="shared" si="10"/>
        <v>4</v>
      </c>
    </row>
    <row r="55" spans="1:27" x14ac:dyDescent="0.25">
      <c r="A55" s="11">
        <v>53</v>
      </c>
      <c r="B55" s="11" t="s">
        <v>97</v>
      </c>
      <c r="C55" s="11">
        <v>110447</v>
      </c>
      <c r="D55" s="11" t="str">
        <f>VLOOKUP(B55,[1]Sheet1!$B$1028:$H$1180,7,0)</f>
        <v>B&amp;M</v>
      </c>
      <c r="E55" s="12">
        <v>46240</v>
      </c>
      <c r="F55" s="13">
        <v>0.38611111111111113</v>
      </c>
      <c r="G55" s="11" t="str">
        <f t="shared" si="3"/>
        <v>Thursday</v>
      </c>
      <c r="H55" s="11" t="s">
        <v>131</v>
      </c>
      <c r="I55" s="12">
        <v>46240</v>
      </c>
      <c r="J55" s="13">
        <v>0.67152777777777772</v>
      </c>
      <c r="K55" s="11" t="str">
        <f t="shared" si="4"/>
        <v>Thursday</v>
      </c>
      <c r="L55" s="11" t="str">
        <f t="shared" si="5"/>
        <v>0 Days 6.8 Hrs</v>
      </c>
      <c r="M55" s="12">
        <v>46242</v>
      </c>
      <c r="N55" s="13">
        <v>0.49652777777777779</v>
      </c>
      <c r="O55" s="11" t="str">
        <f t="shared" si="6"/>
        <v>Saturday</v>
      </c>
      <c r="P55" s="11" t="str">
        <f t="shared" si="0"/>
        <v>1 Days 19.8 Hrs</v>
      </c>
      <c r="Q55" s="12">
        <v>46244</v>
      </c>
      <c r="R55" s="13">
        <v>0.38750000000000001</v>
      </c>
      <c r="S55" s="11" t="str">
        <f t="shared" si="7"/>
        <v>Monday</v>
      </c>
      <c r="T55" s="11" t="str">
        <f t="shared" si="1"/>
        <v>1 Days 21.4 Hrs</v>
      </c>
      <c r="U55" s="11"/>
      <c r="V55" s="11"/>
      <c r="W55" s="11"/>
      <c r="X55" s="12">
        <v>46244</v>
      </c>
      <c r="Y55" s="11" t="s">
        <v>241</v>
      </c>
      <c r="Z55" s="19" t="str">
        <f t="shared" si="9"/>
        <v>Monday</v>
      </c>
      <c r="AA55" s="11">
        <f t="shared" si="10"/>
        <v>4</v>
      </c>
    </row>
    <row r="56" spans="1:27" x14ac:dyDescent="0.25">
      <c r="A56" s="11">
        <v>54</v>
      </c>
      <c r="B56" s="11" t="s">
        <v>98</v>
      </c>
      <c r="C56" s="11">
        <v>110475</v>
      </c>
      <c r="D56" s="11" t="str">
        <f>VLOOKUP(B56,[1]Sheet1!$B$1028:$H$1180,7,0)</f>
        <v>R&amp;B</v>
      </c>
      <c r="E56" s="12">
        <v>46240</v>
      </c>
      <c r="F56" s="13">
        <v>0.70486111111111116</v>
      </c>
      <c r="G56" s="11" t="str">
        <f t="shared" si="3"/>
        <v>Thursday</v>
      </c>
      <c r="H56" s="11" t="s">
        <v>131</v>
      </c>
      <c r="I56" s="12">
        <v>46240</v>
      </c>
      <c r="J56" s="13">
        <v>0.72499999999999998</v>
      </c>
      <c r="K56" s="11" t="str">
        <f t="shared" si="4"/>
        <v>Thursday</v>
      </c>
      <c r="L56" s="11" t="str">
        <f t="shared" si="5"/>
        <v>0 Days 0.5 Hrs</v>
      </c>
      <c r="M56" s="12">
        <v>46242</v>
      </c>
      <c r="N56" s="13">
        <v>0.49583333333333335</v>
      </c>
      <c r="O56" s="11" t="str">
        <f t="shared" si="6"/>
        <v>Saturday</v>
      </c>
      <c r="P56" s="11" t="str">
        <f t="shared" si="0"/>
        <v>1 Days 18.5 Hrs</v>
      </c>
      <c r="Q56" s="12">
        <v>46242</v>
      </c>
      <c r="R56" s="13">
        <v>0.49722222222222223</v>
      </c>
      <c r="S56" s="11" t="str">
        <f t="shared" si="7"/>
        <v>Saturday</v>
      </c>
      <c r="T56" s="11" t="str">
        <f t="shared" si="1"/>
        <v>0 Days 0 Hrs</v>
      </c>
      <c r="U56" s="11"/>
      <c r="V56" s="11"/>
      <c r="W56" s="11"/>
      <c r="X56" s="12">
        <v>46242</v>
      </c>
      <c r="Y56" s="11" t="s">
        <v>241</v>
      </c>
      <c r="Z56" s="19" t="str">
        <f t="shared" si="9"/>
        <v>Saturday</v>
      </c>
      <c r="AA56" s="11">
        <f t="shared" si="10"/>
        <v>2</v>
      </c>
    </row>
    <row r="57" spans="1:27" x14ac:dyDescent="0.25">
      <c r="A57" s="11">
        <v>55</v>
      </c>
      <c r="B57" s="11" t="s">
        <v>99</v>
      </c>
      <c r="C57" s="11">
        <v>110474</v>
      </c>
      <c r="D57" s="11" t="str">
        <f>VLOOKUP(B57,[1]Sheet1!$B$1028:$H$1180,7,0)</f>
        <v>Mix</v>
      </c>
      <c r="E57" s="12">
        <v>46240</v>
      </c>
      <c r="F57" s="13">
        <v>0.70138888888888884</v>
      </c>
      <c r="G57" s="11" t="str">
        <f t="shared" si="3"/>
        <v>Thursday</v>
      </c>
      <c r="H57" s="11"/>
      <c r="I57" s="12">
        <v>46240</v>
      </c>
      <c r="J57" s="13">
        <v>0.72638888888888886</v>
      </c>
      <c r="K57" s="11" t="str">
        <f t="shared" si="4"/>
        <v>Thursday</v>
      </c>
      <c r="L57" s="11" t="str">
        <f t="shared" si="5"/>
        <v>0 Days 0.6 Hrs</v>
      </c>
      <c r="M57" s="12">
        <v>46242</v>
      </c>
      <c r="N57" s="13">
        <v>0.48194444444444445</v>
      </c>
      <c r="O57" s="11" t="str">
        <f t="shared" si="6"/>
        <v>Saturday</v>
      </c>
      <c r="P57" s="11" t="str">
        <f t="shared" si="0"/>
        <v>1 Days 18.1 Hrs</v>
      </c>
      <c r="Q57" s="12">
        <v>46242</v>
      </c>
      <c r="R57" s="13">
        <v>0.48402777777777778</v>
      </c>
      <c r="S57" s="11" t="str">
        <f t="shared" si="7"/>
        <v>Saturday</v>
      </c>
      <c r="T57" s="11" t="str">
        <f t="shared" si="1"/>
        <v>0 Days 0 Hrs</v>
      </c>
      <c r="U57" s="11"/>
      <c r="V57" s="11"/>
      <c r="W57" s="11"/>
      <c r="X57" s="12">
        <v>46242</v>
      </c>
      <c r="Y57" s="11" t="s">
        <v>174</v>
      </c>
      <c r="Z57" s="19" t="str">
        <f t="shared" si="9"/>
        <v>Saturday</v>
      </c>
      <c r="AA57" s="11">
        <f t="shared" si="10"/>
        <v>2</v>
      </c>
    </row>
    <row r="58" spans="1:27" x14ac:dyDescent="0.25">
      <c r="A58" s="11">
        <v>56</v>
      </c>
      <c r="B58" s="11" t="s">
        <v>100</v>
      </c>
      <c r="C58" s="11">
        <v>110476</v>
      </c>
      <c r="D58" s="11" t="str">
        <f>VLOOKUP(B58,[1]Sheet1!$B$1028:$H$1180,7,0)</f>
        <v>BBZ</v>
      </c>
      <c r="E58" s="12">
        <v>46240</v>
      </c>
      <c r="F58" s="13">
        <v>0.70763888888888893</v>
      </c>
      <c r="G58" s="11" t="str">
        <f t="shared" si="3"/>
        <v>Thursday</v>
      </c>
      <c r="H58" s="11"/>
      <c r="I58" s="12">
        <v>46240</v>
      </c>
      <c r="J58" s="13">
        <v>0.73541666666666672</v>
      </c>
      <c r="K58" s="11" t="str">
        <f t="shared" si="4"/>
        <v>Thursday</v>
      </c>
      <c r="L58" s="11" t="str">
        <f t="shared" si="5"/>
        <v>0 Days 0.7 Hrs</v>
      </c>
      <c r="M58" s="12">
        <v>46242</v>
      </c>
      <c r="N58" s="13">
        <v>0.48125000000000001</v>
      </c>
      <c r="O58" s="11" t="str">
        <f t="shared" si="6"/>
        <v>Saturday</v>
      </c>
      <c r="P58" s="11" t="str">
        <f t="shared" si="0"/>
        <v>1 Days 17.9 Hrs</v>
      </c>
      <c r="Q58" s="12">
        <v>46243</v>
      </c>
      <c r="R58" s="13">
        <v>0.46250000000000002</v>
      </c>
      <c r="S58" s="11" t="str">
        <f t="shared" si="7"/>
        <v>Sunday</v>
      </c>
      <c r="T58" s="11" t="str">
        <f t="shared" si="1"/>
        <v>0 Days 23.6 Hrs</v>
      </c>
      <c r="U58" s="11"/>
      <c r="V58" s="11"/>
      <c r="W58" s="11"/>
      <c r="X58" s="12">
        <v>46243</v>
      </c>
      <c r="Y58" s="11" t="s">
        <v>241</v>
      </c>
      <c r="Z58" s="19" t="str">
        <f t="shared" si="9"/>
        <v>Sunday</v>
      </c>
      <c r="AA58" s="11">
        <f t="shared" si="10"/>
        <v>3</v>
      </c>
    </row>
    <row r="59" spans="1:27" x14ac:dyDescent="0.25">
      <c r="A59" s="11">
        <v>57</v>
      </c>
      <c r="B59" s="11" t="s">
        <v>101</v>
      </c>
      <c r="C59" s="11">
        <v>110478</v>
      </c>
      <c r="D59" s="11" t="str">
        <f>VLOOKUP(B59,[1]Sheet1!$B$1028:$H$1180,7,0)</f>
        <v>Mix</v>
      </c>
      <c r="E59" s="12">
        <v>46240</v>
      </c>
      <c r="F59" s="13">
        <v>0.71319444444444446</v>
      </c>
      <c r="G59" s="11" t="str">
        <f t="shared" si="3"/>
        <v>Thursday</v>
      </c>
      <c r="H59" s="11"/>
      <c r="I59" s="12">
        <v>46240</v>
      </c>
      <c r="J59" s="13">
        <v>0.74722222222222223</v>
      </c>
      <c r="K59" s="11" t="str">
        <f t="shared" si="4"/>
        <v>Thursday</v>
      </c>
      <c r="L59" s="11" t="str">
        <f t="shared" si="5"/>
        <v>0 Days 0.8 Hrs</v>
      </c>
      <c r="M59" s="12">
        <v>46242</v>
      </c>
      <c r="N59" s="13">
        <v>0.47986111111111113</v>
      </c>
      <c r="O59" s="11" t="str">
        <f t="shared" si="6"/>
        <v>Saturday</v>
      </c>
      <c r="P59" s="11" t="str">
        <f t="shared" si="0"/>
        <v>1 Days 17.6 Hrs</v>
      </c>
      <c r="Q59" s="12">
        <v>46242</v>
      </c>
      <c r="R59" s="13">
        <v>0.48333333333333334</v>
      </c>
      <c r="S59" s="11" t="str">
        <f t="shared" si="7"/>
        <v>Saturday</v>
      </c>
      <c r="T59" s="11" t="str">
        <f t="shared" si="1"/>
        <v>0 Days 0.1 Hrs</v>
      </c>
      <c r="U59" s="11"/>
      <c r="V59" s="11"/>
      <c r="W59" s="11"/>
      <c r="X59" s="12">
        <v>46243</v>
      </c>
      <c r="Y59" s="11" t="s">
        <v>174</v>
      </c>
      <c r="Z59" s="19" t="str">
        <f t="shared" si="9"/>
        <v>Sunday</v>
      </c>
      <c r="AA59" s="11">
        <f t="shared" si="10"/>
        <v>3</v>
      </c>
    </row>
    <row r="60" spans="1:27" x14ac:dyDescent="0.25">
      <c r="A60" s="11">
        <v>58</v>
      </c>
      <c r="B60" s="11" t="s">
        <v>102</v>
      </c>
      <c r="C60" s="11">
        <v>110477</v>
      </c>
      <c r="D60" s="11" t="str">
        <f>VLOOKUP(B60,[1]Sheet1!$B$1028:$H$1180,7,0)</f>
        <v>B&amp;M</v>
      </c>
      <c r="E60" s="12">
        <v>46240</v>
      </c>
      <c r="F60" s="13">
        <v>0.7104166666666667</v>
      </c>
      <c r="G60" s="11" t="str">
        <f t="shared" si="3"/>
        <v>Thursday</v>
      </c>
      <c r="H60" s="11" t="s">
        <v>131</v>
      </c>
      <c r="I60" s="12">
        <v>46242</v>
      </c>
      <c r="J60" s="13">
        <v>1.8749999999999999E-2</v>
      </c>
      <c r="K60" s="11" t="str">
        <f t="shared" si="4"/>
        <v>Saturday</v>
      </c>
      <c r="L60" s="11" t="str">
        <f t="shared" si="5"/>
        <v>1 Days 7.4 Hrs</v>
      </c>
      <c r="M60" s="12">
        <v>46242</v>
      </c>
      <c r="N60" s="13">
        <v>0.47916666666666669</v>
      </c>
      <c r="O60" s="11" t="str">
        <f t="shared" si="6"/>
        <v>Saturday</v>
      </c>
      <c r="P60" s="11" t="str">
        <f t="shared" si="0"/>
        <v>0 Days 11 Hrs</v>
      </c>
      <c r="Q60" s="12">
        <v>46242</v>
      </c>
      <c r="R60" s="13">
        <v>0.74583333333333335</v>
      </c>
      <c r="S60" s="11" t="str">
        <f t="shared" si="7"/>
        <v>Saturday</v>
      </c>
      <c r="T60" s="11" t="str">
        <f t="shared" si="1"/>
        <v>0 Days 6.4 Hrs</v>
      </c>
      <c r="U60" s="11"/>
      <c r="V60" s="11"/>
      <c r="W60" s="11"/>
      <c r="X60" s="12">
        <v>46243</v>
      </c>
      <c r="Y60" s="11" t="s">
        <v>241</v>
      </c>
      <c r="Z60" s="19" t="str">
        <f t="shared" si="9"/>
        <v>Sunday</v>
      </c>
      <c r="AA60" s="11">
        <f t="shared" si="10"/>
        <v>3</v>
      </c>
    </row>
    <row r="61" spans="1:27" x14ac:dyDescent="0.25">
      <c r="A61" s="11">
        <v>59</v>
      </c>
      <c r="B61" s="11" t="s">
        <v>103</v>
      </c>
      <c r="C61" s="11">
        <v>110582</v>
      </c>
      <c r="D61" s="11" t="str">
        <f>VLOOKUP(B61,[1]Sheet1!$B$1028:$H$1180,7,0)</f>
        <v>SM</v>
      </c>
      <c r="E61" s="12">
        <v>46242</v>
      </c>
      <c r="F61" s="13">
        <v>0.75208333333333333</v>
      </c>
      <c r="G61" s="11" t="str">
        <f t="shared" si="3"/>
        <v>Saturday</v>
      </c>
      <c r="H61" s="11"/>
      <c r="I61" s="12">
        <v>46242</v>
      </c>
      <c r="J61" s="13">
        <v>0.76180555555555551</v>
      </c>
      <c r="K61" s="11" t="str">
        <f t="shared" si="4"/>
        <v>Saturday</v>
      </c>
      <c r="L61" s="11" t="str">
        <f t="shared" si="5"/>
        <v>0 Days 0.2 Hrs</v>
      </c>
      <c r="M61" s="12">
        <v>46243</v>
      </c>
      <c r="N61" s="13">
        <v>0.50486111111111109</v>
      </c>
      <c r="O61" s="11" t="str">
        <f t="shared" si="6"/>
        <v>Sunday</v>
      </c>
      <c r="P61" s="11" t="str">
        <f t="shared" si="0"/>
        <v>0 Days 17.8 Hrs</v>
      </c>
      <c r="Q61" s="12">
        <v>46243</v>
      </c>
      <c r="R61" s="13">
        <v>0.5131944444444444</v>
      </c>
      <c r="S61" s="11" t="str">
        <f t="shared" si="7"/>
        <v>Sunday</v>
      </c>
      <c r="T61" s="11" t="str">
        <f t="shared" si="1"/>
        <v>0 Days 0.2 Hrs</v>
      </c>
      <c r="U61" s="11"/>
      <c r="V61" s="11"/>
      <c r="W61" s="11"/>
      <c r="X61" s="12">
        <v>46243</v>
      </c>
      <c r="Y61" s="11" t="s">
        <v>241</v>
      </c>
      <c r="Z61" s="19" t="str">
        <f t="shared" si="9"/>
        <v>Sunday</v>
      </c>
      <c r="AA61" s="11">
        <f t="shared" si="10"/>
        <v>1</v>
      </c>
    </row>
    <row r="62" spans="1:27" x14ac:dyDescent="0.25">
      <c r="A62" s="11">
        <v>60</v>
      </c>
      <c r="B62" s="11" t="s">
        <v>104</v>
      </c>
      <c r="C62" s="11">
        <v>110574</v>
      </c>
      <c r="D62" s="11" t="str">
        <f>VLOOKUP(B62,[1]Sheet1!$B$1028:$H$1180,7,0)</f>
        <v>Mix</v>
      </c>
      <c r="E62" s="12">
        <v>46242</v>
      </c>
      <c r="F62" s="13">
        <v>0.72361111111111109</v>
      </c>
      <c r="G62" s="11" t="str">
        <f t="shared" si="3"/>
        <v>Saturday</v>
      </c>
      <c r="H62" s="11" t="s">
        <v>131</v>
      </c>
      <c r="I62" s="12">
        <v>46242</v>
      </c>
      <c r="J62" s="13">
        <v>0.81111111111111112</v>
      </c>
      <c r="K62" s="11" t="str">
        <f t="shared" si="4"/>
        <v>Saturday</v>
      </c>
      <c r="L62" s="11" t="str">
        <f t="shared" si="5"/>
        <v>0 Days 2.1 Hrs</v>
      </c>
      <c r="M62" s="12">
        <v>46243</v>
      </c>
      <c r="N62" s="13">
        <v>0.51458333333333328</v>
      </c>
      <c r="O62" s="11" t="str">
        <f t="shared" si="6"/>
        <v>Sunday</v>
      </c>
      <c r="P62" s="11" t="str">
        <f t="shared" si="0"/>
        <v>0 Days 16.9 Hrs</v>
      </c>
      <c r="Q62" s="12">
        <v>46243</v>
      </c>
      <c r="R62" s="13">
        <v>0.51666666666666672</v>
      </c>
      <c r="S62" s="11" t="str">
        <f t="shared" si="7"/>
        <v>Sunday</v>
      </c>
      <c r="T62" s="11" t="str">
        <f t="shared" si="1"/>
        <v>0 Days 0.1 Hrs</v>
      </c>
      <c r="U62" s="11"/>
      <c r="V62" s="11"/>
      <c r="W62" s="11"/>
      <c r="X62" s="12">
        <v>46243</v>
      </c>
      <c r="Y62" s="11" t="s">
        <v>174</v>
      </c>
      <c r="Z62" s="19" t="str">
        <f t="shared" si="9"/>
        <v>Sunday</v>
      </c>
      <c r="AA62" s="11">
        <f t="shared" si="10"/>
        <v>1</v>
      </c>
    </row>
    <row r="63" spans="1:27" x14ac:dyDescent="0.25">
      <c r="A63" s="11">
        <v>61</v>
      </c>
      <c r="B63" s="11" t="s">
        <v>105</v>
      </c>
      <c r="C63" s="11">
        <v>110577</v>
      </c>
      <c r="D63" s="11" t="str">
        <f>VLOOKUP(B63,[1]Sheet1!$B$1028:$H$1180,7,0)</f>
        <v>Mix</v>
      </c>
      <c r="E63" s="12">
        <v>46242</v>
      </c>
      <c r="F63" s="13">
        <v>0.73333333333333328</v>
      </c>
      <c r="G63" s="11" t="str">
        <f t="shared" si="3"/>
        <v>Saturday</v>
      </c>
      <c r="H63" s="11"/>
      <c r="I63" s="12">
        <v>46242</v>
      </c>
      <c r="J63" s="13">
        <v>0.84583333333333333</v>
      </c>
      <c r="K63" s="11" t="str">
        <f t="shared" si="4"/>
        <v>Saturday</v>
      </c>
      <c r="L63" s="11" t="str">
        <f t="shared" si="5"/>
        <v>0 Days 2.7 Hrs</v>
      </c>
      <c r="M63" s="12">
        <v>46243</v>
      </c>
      <c r="N63" s="13">
        <v>0.48055555555555557</v>
      </c>
      <c r="O63" s="11" t="str">
        <f t="shared" si="6"/>
        <v>Sunday</v>
      </c>
      <c r="P63" s="11" t="str">
        <f t="shared" si="0"/>
        <v>0 Days 15.2 Hrs</v>
      </c>
      <c r="Q63" s="12">
        <v>46243</v>
      </c>
      <c r="R63" s="13">
        <v>0.4826388888888889</v>
      </c>
      <c r="S63" s="11" t="str">
        <f t="shared" si="7"/>
        <v>Sunday</v>
      </c>
      <c r="T63" s="11" t="str">
        <f t="shared" si="1"/>
        <v>0 Days 0 Hrs</v>
      </c>
      <c r="U63" s="11"/>
      <c r="V63" s="11"/>
      <c r="W63" s="11"/>
      <c r="X63" s="12">
        <v>46243</v>
      </c>
      <c r="Y63" s="11" t="s">
        <v>174</v>
      </c>
      <c r="Z63" s="19" t="str">
        <f t="shared" si="9"/>
        <v>Sunday</v>
      </c>
      <c r="AA63" s="11">
        <f t="shared" si="10"/>
        <v>1</v>
      </c>
    </row>
    <row r="64" spans="1:27" x14ac:dyDescent="0.25">
      <c r="A64" s="11">
        <v>62</v>
      </c>
      <c r="B64" s="11" t="s">
        <v>106</v>
      </c>
      <c r="C64" s="11">
        <v>110578</v>
      </c>
      <c r="D64" s="11" t="str">
        <f>VLOOKUP(B64,[1]Sheet1!$B$1028:$H$1180,7,0)</f>
        <v>Mix</v>
      </c>
      <c r="E64" s="12">
        <v>46242</v>
      </c>
      <c r="F64" s="13">
        <v>0.73472222222222228</v>
      </c>
      <c r="G64" s="11" t="str">
        <f t="shared" si="3"/>
        <v>Saturday</v>
      </c>
      <c r="H64" s="11"/>
      <c r="I64" s="12">
        <v>46242</v>
      </c>
      <c r="J64" s="13">
        <v>0.86041666666666672</v>
      </c>
      <c r="K64" s="11" t="str">
        <f t="shared" si="4"/>
        <v>Saturday</v>
      </c>
      <c r="L64" s="11" t="str">
        <f t="shared" si="5"/>
        <v>0 Days 3 Hrs</v>
      </c>
      <c r="M64" s="12">
        <v>46243</v>
      </c>
      <c r="N64" s="13">
        <v>0.4375</v>
      </c>
      <c r="O64" s="11" t="str">
        <f t="shared" si="6"/>
        <v>Sunday</v>
      </c>
      <c r="P64" s="11" t="str">
        <f t="shared" si="0"/>
        <v>0 Days 13.8 Hrs</v>
      </c>
      <c r="Q64" s="12">
        <v>46243</v>
      </c>
      <c r="R64" s="13">
        <v>0.45624999999999999</v>
      </c>
      <c r="S64" s="11" t="str">
        <f t="shared" si="7"/>
        <v>Sunday</v>
      </c>
      <c r="T64" s="11" t="str">
        <f t="shared" si="1"/>
        <v>0 Days 0.5 Hrs</v>
      </c>
      <c r="U64" s="11"/>
      <c r="V64" s="11"/>
      <c r="W64" s="11"/>
      <c r="X64" s="12">
        <v>46243</v>
      </c>
      <c r="Y64" s="11" t="s">
        <v>174</v>
      </c>
      <c r="Z64" s="19" t="str">
        <f t="shared" si="9"/>
        <v>Sunday</v>
      </c>
      <c r="AA64" s="11">
        <f t="shared" si="10"/>
        <v>1</v>
      </c>
    </row>
    <row r="65" spans="1:27" x14ac:dyDescent="0.25">
      <c r="A65" s="11">
        <v>63</v>
      </c>
      <c r="B65" s="11" t="s">
        <v>107</v>
      </c>
      <c r="C65" s="11">
        <v>110583</v>
      </c>
      <c r="D65" s="11" t="str">
        <f>VLOOKUP(B65,[1]Sheet1!$B$1028:$H$1180,7,0)</f>
        <v>BBZ</v>
      </c>
      <c r="E65" s="12">
        <v>46242</v>
      </c>
      <c r="F65" s="13">
        <v>0.75416666666666665</v>
      </c>
      <c r="G65" s="11" t="str">
        <f t="shared" si="3"/>
        <v>Saturday</v>
      </c>
      <c r="H65" s="11"/>
      <c r="I65" s="12">
        <v>46242</v>
      </c>
      <c r="J65" s="13">
        <v>0.87013888888888891</v>
      </c>
      <c r="K65" s="11" t="str">
        <f t="shared" si="4"/>
        <v>Saturday</v>
      </c>
      <c r="L65" s="11" t="str">
        <f t="shared" si="5"/>
        <v>0 Days 2.8 Hrs</v>
      </c>
      <c r="M65" s="12">
        <v>46243</v>
      </c>
      <c r="N65" s="13">
        <v>0.42222222222222222</v>
      </c>
      <c r="O65" s="11" t="str">
        <f t="shared" si="6"/>
        <v>Sunday</v>
      </c>
      <c r="P65" s="11" t="str">
        <f t="shared" si="0"/>
        <v>0 Days 13.3 Hrs</v>
      </c>
      <c r="Q65" s="12">
        <v>46244</v>
      </c>
      <c r="R65" s="13">
        <v>0.38958333333333334</v>
      </c>
      <c r="S65" s="11" t="str">
        <f t="shared" si="7"/>
        <v>Monday</v>
      </c>
      <c r="T65" s="11" t="str">
        <f t="shared" si="1"/>
        <v>0 Days 23.2 Hrs</v>
      </c>
      <c r="U65" s="11"/>
      <c r="V65" s="11"/>
      <c r="W65" s="11"/>
      <c r="X65" s="12">
        <v>46244</v>
      </c>
      <c r="Y65" s="11" t="s">
        <v>241</v>
      </c>
      <c r="Z65" s="19" t="str">
        <f t="shared" si="9"/>
        <v>Monday</v>
      </c>
      <c r="AA65" s="11">
        <f t="shared" si="10"/>
        <v>2</v>
      </c>
    </row>
    <row r="66" spans="1:27" x14ac:dyDescent="0.25">
      <c r="A66" s="11">
        <v>64</v>
      </c>
      <c r="B66" s="11" t="s">
        <v>108</v>
      </c>
      <c r="C66" s="11">
        <v>110575</v>
      </c>
      <c r="D66" s="11" t="str">
        <f>VLOOKUP(B66,[1]Sheet1!$B$1028:$H$1180,7,0)</f>
        <v>LCW</v>
      </c>
      <c r="E66" s="12">
        <v>46246</v>
      </c>
      <c r="F66" s="13">
        <v>0.70208333333333328</v>
      </c>
      <c r="G66" s="11" t="str">
        <f t="shared" si="3"/>
        <v>Wednesday</v>
      </c>
      <c r="H66" s="11" t="s">
        <v>138</v>
      </c>
      <c r="I66" s="12">
        <v>46247</v>
      </c>
      <c r="J66" s="13">
        <v>0.46111111111111114</v>
      </c>
      <c r="K66" s="11" t="str">
        <f t="shared" si="4"/>
        <v>Thursday</v>
      </c>
      <c r="L66" s="11" t="str">
        <f t="shared" si="5"/>
        <v>0 Days 18.2 Hrs</v>
      </c>
      <c r="M66" s="12">
        <v>46247</v>
      </c>
      <c r="N66" s="13">
        <v>0.53263888888888888</v>
      </c>
      <c r="O66" s="11" t="str">
        <f t="shared" si="6"/>
        <v>Thursday</v>
      </c>
      <c r="P66" s="11" t="str">
        <f t="shared" si="0"/>
        <v>0 Days 1.7 Hrs</v>
      </c>
      <c r="Q66" s="12">
        <v>46249</v>
      </c>
      <c r="R66" s="13">
        <v>0.39374999999999999</v>
      </c>
      <c r="S66" s="11" t="str">
        <f t="shared" si="7"/>
        <v>Saturday</v>
      </c>
      <c r="T66" s="11" t="str">
        <f t="shared" si="1"/>
        <v>1 Days 20.7 Hrs</v>
      </c>
      <c r="U66" s="11"/>
      <c r="V66" s="11"/>
      <c r="W66" s="11"/>
      <c r="X66" s="12">
        <v>46249</v>
      </c>
      <c r="Y66" s="11" t="s">
        <v>241</v>
      </c>
      <c r="Z66" s="19" t="str">
        <f t="shared" si="9"/>
        <v>Saturday</v>
      </c>
      <c r="AA66" s="11">
        <f t="shared" si="10"/>
        <v>3</v>
      </c>
    </row>
    <row r="67" spans="1:27" x14ac:dyDescent="0.25">
      <c r="A67" s="11">
        <v>65</v>
      </c>
      <c r="B67" s="11" t="s">
        <v>109</v>
      </c>
      <c r="C67" s="11">
        <v>110576</v>
      </c>
      <c r="D67" s="11" t="str">
        <f>VLOOKUP(B67,[1]Sheet1!$B$1028:$H$1180,7,0)</f>
        <v>LCW</v>
      </c>
      <c r="E67" s="12">
        <v>46246</v>
      </c>
      <c r="F67" s="13">
        <v>0.5180555555555556</v>
      </c>
      <c r="G67" s="11" t="str">
        <f t="shared" si="3"/>
        <v>Wednesday</v>
      </c>
      <c r="H67" s="11" t="s">
        <v>139</v>
      </c>
      <c r="I67" s="12">
        <v>46246</v>
      </c>
      <c r="J67" s="13">
        <v>0.69513888888888886</v>
      </c>
      <c r="K67" s="11" t="str">
        <f t="shared" si="4"/>
        <v>Wednesday</v>
      </c>
      <c r="L67" s="11" t="str">
        <f t="shared" si="5"/>
        <v>0 Days 4.3 Hrs</v>
      </c>
      <c r="M67" s="12">
        <v>46247</v>
      </c>
      <c r="N67" s="13">
        <v>0.38263888888888886</v>
      </c>
      <c r="O67" s="11" t="str">
        <f t="shared" si="6"/>
        <v>Thursday</v>
      </c>
      <c r="P67" s="11" t="str">
        <f t="shared" ref="P67:P124" si="11">INT((M67+N67)-(I67+J67))&amp;" Days "&amp;ROUND(MOD((M67+N67)-(I67+J67),1)*24,1)&amp;" Hrs"</f>
        <v>0 Days 16.5 Hrs</v>
      </c>
      <c r="Q67" s="12">
        <v>46249</v>
      </c>
      <c r="R67" s="13">
        <v>0.39374999999999999</v>
      </c>
      <c r="S67" s="11" t="str">
        <f t="shared" si="7"/>
        <v>Saturday</v>
      </c>
      <c r="T67" s="11" t="str">
        <f t="shared" ref="T67:T122" si="12">INT((Q67+R67)-(M67+N67))&amp;" Days "&amp;ROUND(MOD((Q67+R67)-(M67+N67),1)*24,1)&amp;" Hrs"</f>
        <v>2 Days 0.3 Hrs</v>
      </c>
      <c r="U67" s="11"/>
      <c r="V67" s="11"/>
      <c r="W67" s="11"/>
      <c r="X67" s="12">
        <v>46249</v>
      </c>
      <c r="Y67" s="11" t="s">
        <v>241</v>
      </c>
      <c r="Z67" s="19" t="str">
        <f t="shared" si="9"/>
        <v>Saturday</v>
      </c>
      <c r="AA67" s="11">
        <f t="shared" ref="AA67:AA98" si="13">X67-E67</f>
        <v>3</v>
      </c>
    </row>
    <row r="68" spans="1:27" x14ac:dyDescent="0.25">
      <c r="A68" s="11">
        <v>66</v>
      </c>
      <c r="B68" s="11" t="s">
        <v>110</v>
      </c>
      <c r="C68" s="11">
        <v>110579</v>
      </c>
      <c r="D68" s="11" t="str">
        <f>VLOOKUP(B68,[1]Sheet1!$B$1028:$H$1180,7,0)</f>
        <v>R&amp;B</v>
      </c>
      <c r="E68" s="12">
        <v>46242</v>
      </c>
      <c r="F68" s="13">
        <v>0.73750000000000004</v>
      </c>
      <c r="G68" s="11" t="str">
        <f t="shared" ref="G68:G124" si="14">TEXT(E68,"dddd")</f>
        <v>Saturday</v>
      </c>
      <c r="H68" s="11"/>
      <c r="I68" s="12">
        <v>46242</v>
      </c>
      <c r="J68" s="13">
        <v>0.93194444444444446</v>
      </c>
      <c r="K68" s="11" t="str">
        <f t="shared" ref="K68:K124" si="15">TEXT(I68,"dddd")</f>
        <v>Saturday</v>
      </c>
      <c r="L68" s="11" t="str">
        <f t="shared" ref="L68:L104" si="16">INT((I68+J68)-(E68+F68))&amp;" Days "&amp;ROUND(MOD((I68+J68)-(E68+F68),1)*24,1)&amp;" Hrs"</f>
        <v>0 Days 4.7 Hrs</v>
      </c>
      <c r="M68" s="12">
        <v>46243</v>
      </c>
      <c r="N68" s="13">
        <v>0.41666666666666669</v>
      </c>
      <c r="O68" s="11" t="str">
        <f t="shared" ref="O68:O115" si="17">TEXT(M68,"dddd")</f>
        <v>Sunday</v>
      </c>
      <c r="P68" s="11" t="str">
        <f t="shared" si="11"/>
        <v>0 Days 11.6 Hrs</v>
      </c>
      <c r="Q68" s="12">
        <v>46243</v>
      </c>
      <c r="R68" s="13">
        <v>0.45763888888888887</v>
      </c>
      <c r="S68" s="11" t="str">
        <f t="shared" ref="S68:S122" si="18">TEXT(Q68,"dddd")</f>
        <v>Sunday</v>
      </c>
      <c r="T68" s="11" t="str">
        <f t="shared" si="12"/>
        <v>0 Days 1 Hrs</v>
      </c>
      <c r="U68" s="11"/>
      <c r="V68" s="11"/>
      <c r="W68" s="11"/>
      <c r="X68" s="12">
        <v>46243</v>
      </c>
      <c r="Y68" s="11" t="s">
        <v>241</v>
      </c>
      <c r="Z68" s="19" t="str">
        <f t="shared" si="9"/>
        <v>Sunday</v>
      </c>
      <c r="AA68" s="11">
        <f t="shared" si="13"/>
        <v>1</v>
      </c>
    </row>
    <row r="69" spans="1:27" x14ac:dyDescent="0.25">
      <c r="A69" s="11">
        <v>67</v>
      </c>
      <c r="B69" s="11" t="s">
        <v>111</v>
      </c>
      <c r="C69" s="11">
        <v>110580</v>
      </c>
      <c r="D69" s="11" t="str">
        <f>VLOOKUP(B69,[1]Sheet1!$B$1028:$H$1180,7,0)</f>
        <v>B&amp;M</v>
      </c>
      <c r="E69" s="12">
        <v>46242</v>
      </c>
      <c r="F69" s="13">
        <v>0.74097222222222225</v>
      </c>
      <c r="G69" s="11" t="str">
        <f t="shared" si="14"/>
        <v>Saturday</v>
      </c>
      <c r="H69" s="14" t="s">
        <v>140</v>
      </c>
      <c r="I69" s="12">
        <v>46244</v>
      </c>
      <c r="J69" s="13">
        <v>0.48749999999999999</v>
      </c>
      <c r="K69" s="11" t="str">
        <f t="shared" si="15"/>
        <v>Monday</v>
      </c>
      <c r="L69" s="11" t="str">
        <f t="shared" si="16"/>
        <v>1 Days 17.9 Hrs</v>
      </c>
      <c r="M69" s="12">
        <v>46244</v>
      </c>
      <c r="N69" s="13">
        <v>0.67361111111111116</v>
      </c>
      <c r="O69" s="11" t="str">
        <f t="shared" si="17"/>
        <v>Monday</v>
      </c>
      <c r="P69" s="11" t="str">
        <f t="shared" si="11"/>
        <v>0 Days 4.5 Hrs</v>
      </c>
      <c r="Q69" s="12">
        <v>46246</v>
      </c>
      <c r="R69" s="13">
        <v>0.38541666666666669</v>
      </c>
      <c r="S69" s="11" t="str">
        <f t="shared" si="18"/>
        <v>Wednesday</v>
      </c>
      <c r="T69" s="11" t="str">
        <f t="shared" si="12"/>
        <v>1 Days 17.1 Hrs</v>
      </c>
      <c r="U69" s="11"/>
      <c r="V69" s="11"/>
      <c r="W69" s="11"/>
      <c r="X69" s="12">
        <v>46247</v>
      </c>
      <c r="Y69" s="11" t="s">
        <v>241</v>
      </c>
      <c r="Z69" s="19" t="str">
        <f t="shared" si="9"/>
        <v>Thursday</v>
      </c>
      <c r="AA69" s="11">
        <f t="shared" si="13"/>
        <v>5</v>
      </c>
    </row>
    <row r="70" spans="1:27" x14ac:dyDescent="0.25">
      <c r="A70" s="11">
        <v>68</v>
      </c>
      <c r="B70" s="11" t="s">
        <v>112</v>
      </c>
      <c r="C70" s="11">
        <v>110608</v>
      </c>
      <c r="D70" s="11" t="str">
        <f>VLOOKUP(B70,[1]Sheet1!$B$1028:$H$1180,7,0)</f>
        <v>Mix</v>
      </c>
      <c r="E70" s="12">
        <v>46243</v>
      </c>
      <c r="F70" s="13">
        <v>0.36319444444444443</v>
      </c>
      <c r="G70" s="11" t="str">
        <f t="shared" si="14"/>
        <v>Sunday</v>
      </c>
      <c r="H70" s="11"/>
      <c r="I70" s="12">
        <v>46243</v>
      </c>
      <c r="J70" s="13">
        <v>0.50694444444444442</v>
      </c>
      <c r="K70" s="11" t="str">
        <f t="shared" si="15"/>
        <v>Sunday</v>
      </c>
      <c r="L70" s="11" t="str">
        <f t="shared" si="16"/>
        <v>0 Days 3.5 Hrs</v>
      </c>
      <c r="M70" s="12">
        <v>46243</v>
      </c>
      <c r="N70" s="13">
        <v>0.66041666666666665</v>
      </c>
      <c r="O70" s="11" t="str">
        <f t="shared" si="17"/>
        <v>Sunday</v>
      </c>
      <c r="P70" s="11" t="str">
        <f t="shared" si="11"/>
        <v>0 Days 3.7 Hrs</v>
      </c>
      <c r="Q70" s="12">
        <v>46244</v>
      </c>
      <c r="R70" s="13">
        <v>0.39027777777777778</v>
      </c>
      <c r="S70" s="11" t="str">
        <f t="shared" si="18"/>
        <v>Monday</v>
      </c>
      <c r="T70" s="11" t="str">
        <f t="shared" si="12"/>
        <v>0 Days 17.5 Hrs</v>
      </c>
      <c r="U70" s="11"/>
      <c r="V70" s="11"/>
      <c r="W70" s="11"/>
      <c r="X70" s="12">
        <v>46244</v>
      </c>
      <c r="Y70" s="11" t="s">
        <v>174</v>
      </c>
      <c r="Z70" s="19" t="str">
        <f t="shared" si="9"/>
        <v>Monday</v>
      </c>
      <c r="AA70" s="11">
        <f t="shared" si="13"/>
        <v>1</v>
      </c>
    </row>
    <row r="71" spans="1:27" x14ac:dyDescent="0.25">
      <c r="A71" s="11">
        <v>69</v>
      </c>
      <c r="B71" s="11" t="s">
        <v>113</v>
      </c>
      <c r="C71" s="11">
        <v>110609</v>
      </c>
      <c r="D71" s="11" t="str">
        <f>VLOOKUP(B71,[1]Sheet1!$B$1028:$H$1180,7,0)</f>
        <v>R&amp;B</v>
      </c>
      <c r="E71" s="12">
        <v>46243</v>
      </c>
      <c r="F71" s="13">
        <v>0.36736111111111114</v>
      </c>
      <c r="G71" s="11" t="str">
        <f t="shared" si="14"/>
        <v>Sunday</v>
      </c>
      <c r="H71" s="11"/>
      <c r="I71" s="12">
        <v>46243</v>
      </c>
      <c r="J71" s="13">
        <v>0.53680555555555554</v>
      </c>
      <c r="K71" s="11" t="str">
        <f t="shared" si="15"/>
        <v>Sunday</v>
      </c>
      <c r="L71" s="11" t="str">
        <f t="shared" si="16"/>
        <v>0 Days 4.1 Hrs</v>
      </c>
      <c r="M71" s="12">
        <v>46243</v>
      </c>
      <c r="N71" s="13">
        <v>0.66597222222222219</v>
      </c>
      <c r="O71" s="11" t="str">
        <f t="shared" si="17"/>
        <v>Sunday</v>
      </c>
      <c r="P71" s="11" t="str">
        <f t="shared" si="11"/>
        <v>0 Days 3.1 Hrs</v>
      </c>
      <c r="Q71" s="12">
        <v>46243</v>
      </c>
      <c r="R71" s="13">
        <v>0.67013888888888884</v>
      </c>
      <c r="S71" s="11" t="str">
        <f t="shared" si="18"/>
        <v>Sunday</v>
      </c>
      <c r="T71" s="11" t="str">
        <f t="shared" si="12"/>
        <v>0 Days 0.1 Hrs</v>
      </c>
      <c r="U71" s="11"/>
      <c r="V71" s="11"/>
      <c r="W71" s="11"/>
      <c r="X71" s="12">
        <v>46244</v>
      </c>
      <c r="Y71" s="11" t="s">
        <v>241</v>
      </c>
      <c r="Z71" s="19" t="str">
        <f t="shared" si="9"/>
        <v>Monday</v>
      </c>
      <c r="AA71" s="11">
        <f t="shared" si="13"/>
        <v>1</v>
      </c>
    </row>
    <row r="72" spans="1:27" x14ac:dyDescent="0.25">
      <c r="A72" s="11">
        <v>70</v>
      </c>
      <c r="B72" s="11" t="s">
        <v>114</v>
      </c>
      <c r="C72" s="11">
        <v>110610</v>
      </c>
      <c r="D72" s="11" t="str">
        <f>VLOOKUP(B72,[1]Sheet1!$B$1028:$H$1180,7,0)</f>
        <v>OFP</v>
      </c>
      <c r="E72" s="12">
        <v>46243</v>
      </c>
      <c r="F72" s="13">
        <v>0.375</v>
      </c>
      <c r="G72" s="11" t="str">
        <f t="shared" si="14"/>
        <v>Sunday</v>
      </c>
      <c r="H72" s="11"/>
      <c r="I72" s="12">
        <v>46243</v>
      </c>
      <c r="J72" s="13">
        <v>0.55625000000000002</v>
      </c>
      <c r="K72" s="11" t="str">
        <f t="shared" si="15"/>
        <v>Sunday</v>
      </c>
      <c r="L72" s="11" t="str">
        <f t="shared" si="16"/>
        <v>0 Days 4.4 Hrs</v>
      </c>
      <c r="M72" s="12">
        <v>46243</v>
      </c>
      <c r="N72" s="13">
        <v>0.67083333333333328</v>
      </c>
      <c r="O72" s="11" t="str">
        <f t="shared" si="17"/>
        <v>Sunday</v>
      </c>
      <c r="P72" s="11" t="str">
        <f t="shared" si="11"/>
        <v>0 Days 2.7 Hrs</v>
      </c>
      <c r="Q72" s="12">
        <v>46244</v>
      </c>
      <c r="R72" s="13">
        <v>0.39027777777777778</v>
      </c>
      <c r="S72" s="11" t="str">
        <f t="shared" si="18"/>
        <v>Monday</v>
      </c>
      <c r="T72" s="11" t="str">
        <f t="shared" si="12"/>
        <v>0 Days 17.3 Hrs</v>
      </c>
      <c r="U72" s="11"/>
      <c r="V72" s="11"/>
      <c r="W72" s="11"/>
      <c r="X72" s="12">
        <v>46244</v>
      </c>
      <c r="Y72" s="11" t="s">
        <v>241</v>
      </c>
      <c r="Z72" s="19" t="str">
        <f t="shared" si="9"/>
        <v>Monday</v>
      </c>
      <c r="AA72" s="11">
        <f t="shared" si="13"/>
        <v>1</v>
      </c>
    </row>
    <row r="73" spans="1:27" x14ac:dyDescent="0.25">
      <c r="A73" s="11">
        <v>71</v>
      </c>
      <c r="B73" s="11" t="s">
        <v>115</v>
      </c>
      <c r="C73" s="11" t="s">
        <v>12</v>
      </c>
      <c r="D73" s="11" t="str">
        <f>VLOOKUP(B73,[1]Sheet1!$B$1028:$H$1180,7,0)</f>
        <v>NY</v>
      </c>
      <c r="E73" s="12">
        <v>46244</v>
      </c>
      <c r="F73" s="13">
        <v>0.45833333333333331</v>
      </c>
      <c r="G73" s="11" t="str">
        <f t="shared" si="14"/>
        <v>Monday</v>
      </c>
      <c r="H73" s="11"/>
      <c r="I73" s="12">
        <v>46244</v>
      </c>
      <c r="J73" s="13">
        <v>0.51180555555555551</v>
      </c>
      <c r="K73" s="11" t="str">
        <f t="shared" si="15"/>
        <v>Monday</v>
      </c>
      <c r="L73" s="11" t="str">
        <f t="shared" si="16"/>
        <v>0 Days 1.3 Hrs</v>
      </c>
      <c r="M73" s="12">
        <v>46244</v>
      </c>
      <c r="N73" s="13">
        <v>0.6743055555555556</v>
      </c>
      <c r="O73" s="11" t="str">
        <f t="shared" si="17"/>
        <v>Monday</v>
      </c>
      <c r="P73" s="11" t="str">
        <f t="shared" si="11"/>
        <v>0 Days 3.9 Hrs</v>
      </c>
      <c r="Q73" s="12">
        <v>46246</v>
      </c>
      <c r="R73" s="13">
        <v>0.45069444444444445</v>
      </c>
      <c r="S73" s="11" t="str">
        <f t="shared" si="18"/>
        <v>Wednesday</v>
      </c>
      <c r="T73" s="11" t="str">
        <f t="shared" si="12"/>
        <v>1 Days 18.6 Hrs</v>
      </c>
      <c r="U73" s="11"/>
      <c r="V73" s="11"/>
      <c r="W73" s="11"/>
      <c r="X73" s="12">
        <v>46246</v>
      </c>
      <c r="Y73" s="11" t="s">
        <v>241</v>
      </c>
      <c r="Z73" s="19" t="str">
        <f t="shared" si="9"/>
        <v>Wednesday</v>
      </c>
      <c r="AA73" s="11">
        <f t="shared" si="13"/>
        <v>2</v>
      </c>
    </row>
    <row r="74" spans="1:27" x14ac:dyDescent="0.25">
      <c r="A74" s="11">
        <v>72</v>
      </c>
      <c r="B74" s="11" t="s">
        <v>116</v>
      </c>
      <c r="C74" s="11">
        <v>110581</v>
      </c>
      <c r="D74" s="11" t="str">
        <f>VLOOKUP(B74,[1]Sheet1!$B$1028:$H$1180,7,0)</f>
        <v>DP</v>
      </c>
      <c r="E74" s="12">
        <v>46242</v>
      </c>
      <c r="F74" s="13">
        <v>0.74513888888888891</v>
      </c>
      <c r="G74" s="11" t="str">
        <f t="shared" si="14"/>
        <v>Saturday</v>
      </c>
      <c r="H74" s="14" t="s">
        <v>141</v>
      </c>
      <c r="I74" s="12">
        <v>46244</v>
      </c>
      <c r="J74" s="13">
        <v>0.6430555555555556</v>
      </c>
      <c r="K74" s="11" t="str">
        <f t="shared" si="15"/>
        <v>Monday</v>
      </c>
      <c r="L74" s="11" t="str">
        <f t="shared" si="16"/>
        <v>1 Days 21.6 Hrs</v>
      </c>
      <c r="M74" s="12">
        <v>46245</v>
      </c>
      <c r="N74" s="13">
        <v>0.45763888888888887</v>
      </c>
      <c r="O74" s="11" t="str">
        <f t="shared" si="17"/>
        <v>Tuesday</v>
      </c>
      <c r="P74" s="11" t="str">
        <f t="shared" si="11"/>
        <v>0 Days 19.5 Hrs</v>
      </c>
      <c r="Q74" s="12">
        <v>46245</v>
      </c>
      <c r="R74" s="13">
        <v>0.46388888888888891</v>
      </c>
      <c r="S74" s="11" t="str">
        <f t="shared" si="18"/>
        <v>Tuesday</v>
      </c>
      <c r="T74" s="11" t="str">
        <f t="shared" si="12"/>
        <v>0 Days 0.1 Hrs</v>
      </c>
      <c r="U74" s="11"/>
      <c r="V74" s="11"/>
      <c r="W74" s="11"/>
      <c r="X74" s="12">
        <v>46246</v>
      </c>
      <c r="Y74" s="11" t="s">
        <v>241</v>
      </c>
      <c r="Z74" s="19" t="str">
        <f t="shared" si="9"/>
        <v>Wednesday</v>
      </c>
      <c r="AA74" s="11">
        <f t="shared" si="13"/>
        <v>4</v>
      </c>
    </row>
    <row r="75" spans="1:27" x14ac:dyDescent="0.25">
      <c r="A75" s="11">
        <v>73</v>
      </c>
      <c r="B75" s="11" t="s">
        <v>117</v>
      </c>
      <c r="C75" s="11">
        <v>110633</v>
      </c>
      <c r="D75" s="11" t="str">
        <f>VLOOKUP(B75,[1]Sheet1!$B$1028:$H$1180,7,0)</f>
        <v>Mix</v>
      </c>
      <c r="E75" s="12">
        <v>46243</v>
      </c>
      <c r="F75" s="13">
        <v>0.71458333333333335</v>
      </c>
      <c r="G75" s="11" t="str">
        <f t="shared" si="14"/>
        <v>Sunday</v>
      </c>
      <c r="H75" s="11"/>
      <c r="I75" s="15">
        <v>46243</v>
      </c>
      <c r="J75" s="13">
        <v>0.91736111111111107</v>
      </c>
      <c r="K75" s="11" t="str">
        <f t="shared" si="15"/>
        <v>Sunday</v>
      </c>
      <c r="L75" s="11" t="str">
        <f t="shared" si="16"/>
        <v>0 Days 4.9 Hrs</v>
      </c>
      <c r="M75" s="12">
        <v>46244</v>
      </c>
      <c r="N75" s="13">
        <v>0.41736111111111113</v>
      </c>
      <c r="O75" s="11" t="str">
        <f t="shared" si="17"/>
        <v>Monday</v>
      </c>
      <c r="P75" s="11" t="str">
        <f t="shared" si="11"/>
        <v>0 Days 12 Hrs</v>
      </c>
      <c r="Q75" s="15">
        <v>46244</v>
      </c>
      <c r="R75" s="13">
        <v>0.43194444444444446</v>
      </c>
      <c r="S75" s="11" t="str">
        <f t="shared" si="18"/>
        <v>Monday</v>
      </c>
      <c r="T75" s="11" t="str">
        <f t="shared" si="12"/>
        <v>0 Days 0.3 Hrs</v>
      </c>
      <c r="U75" s="11"/>
      <c r="V75" s="11"/>
      <c r="W75" s="11"/>
      <c r="X75" s="12">
        <v>46244</v>
      </c>
      <c r="Y75" s="11" t="s">
        <v>174</v>
      </c>
      <c r="Z75" s="19" t="str">
        <f t="shared" si="9"/>
        <v>Monday</v>
      </c>
      <c r="AA75" s="11">
        <f t="shared" si="13"/>
        <v>1</v>
      </c>
    </row>
    <row r="76" spans="1:27" x14ac:dyDescent="0.25">
      <c r="A76" s="11">
        <v>74</v>
      </c>
      <c r="B76" s="11" t="s">
        <v>118</v>
      </c>
      <c r="C76" s="11">
        <v>110636</v>
      </c>
      <c r="D76" s="11" t="str">
        <f>VLOOKUP(B76,[1]Sheet1!$B$1028:$H$1180,7,0)</f>
        <v>ADI</v>
      </c>
      <c r="E76" s="12">
        <v>46243</v>
      </c>
      <c r="F76" s="13">
        <v>0.72083333333333333</v>
      </c>
      <c r="G76" s="11" t="str">
        <f t="shared" si="14"/>
        <v>Sunday</v>
      </c>
      <c r="H76" s="11"/>
      <c r="I76" s="15">
        <v>46243</v>
      </c>
      <c r="J76" s="13">
        <v>0.72847222222222219</v>
      </c>
      <c r="K76" s="11" t="str">
        <f t="shared" si="15"/>
        <v>Sunday</v>
      </c>
      <c r="L76" s="11" t="str">
        <f t="shared" si="16"/>
        <v>0 Days 0.2 Hrs</v>
      </c>
      <c r="M76" s="12">
        <v>46244</v>
      </c>
      <c r="N76" s="13">
        <v>0.4152777777777778</v>
      </c>
      <c r="O76" s="11" t="str">
        <f t="shared" si="17"/>
        <v>Monday</v>
      </c>
      <c r="P76" s="11" t="str">
        <f t="shared" si="11"/>
        <v>0 Days 16.5 Hrs</v>
      </c>
      <c r="Q76" s="15">
        <v>46244</v>
      </c>
      <c r="R76" s="13">
        <v>0.43263888888888891</v>
      </c>
      <c r="S76" s="11" t="str">
        <f t="shared" si="18"/>
        <v>Monday</v>
      </c>
      <c r="T76" s="11" t="str">
        <f t="shared" si="12"/>
        <v>0 Days 0.4 Hrs</v>
      </c>
      <c r="U76" s="11"/>
      <c r="V76" s="11"/>
      <c r="W76" s="11"/>
      <c r="X76" s="12">
        <v>46244</v>
      </c>
      <c r="Y76" s="11" t="s">
        <v>241</v>
      </c>
      <c r="Z76" s="19" t="str">
        <f t="shared" si="9"/>
        <v>Monday</v>
      </c>
      <c r="AA76" s="11">
        <f t="shared" si="13"/>
        <v>1</v>
      </c>
    </row>
    <row r="77" spans="1:27" x14ac:dyDescent="0.25">
      <c r="A77" s="11">
        <v>75</v>
      </c>
      <c r="B77" s="11" t="s">
        <v>119</v>
      </c>
      <c r="C77" s="11">
        <v>110634</v>
      </c>
      <c r="D77" s="11" t="str">
        <f>VLOOKUP(B77,[1]Sheet1!$B$1028:$H$1180,7,0)</f>
        <v>R&amp;B</v>
      </c>
      <c r="E77" s="12">
        <v>46243</v>
      </c>
      <c r="F77" s="13">
        <v>0.71458333333333335</v>
      </c>
      <c r="G77" s="11" t="str">
        <f t="shared" si="14"/>
        <v>Sunday</v>
      </c>
      <c r="H77" s="11"/>
      <c r="I77" s="15">
        <v>46243</v>
      </c>
      <c r="J77" s="13">
        <v>0.73750000000000004</v>
      </c>
      <c r="K77" s="11" t="str">
        <f t="shared" si="15"/>
        <v>Sunday</v>
      </c>
      <c r="L77" s="11" t="str">
        <f t="shared" si="16"/>
        <v>0 Days 0.6 Hrs</v>
      </c>
      <c r="M77" s="12">
        <v>46244</v>
      </c>
      <c r="N77" s="13">
        <v>0.42152777777777778</v>
      </c>
      <c r="O77" s="11" t="str">
        <f t="shared" si="17"/>
        <v>Monday</v>
      </c>
      <c r="P77" s="11" t="str">
        <f t="shared" si="11"/>
        <v>0 Days 16.4 Hrs</v>
      </c>
      <c r="Q77" s="15">
        <v>46244</v>
      </c>
      <c r="R77" s="13">
        <v>0.43333333333333335</v>
      </c>
      <c r="S77" s="11" t="str">
        <f t="shared" si="18"/>
        <v>Monday</v>
      </c>
      <c r="T77" s="11" t="str">
        <f t="shared" si="12"/>
        <v>0 Days 0.3 Hrs</v>
      </c>
      <c r="U77" s="11"/>
      <c r="V77" s="11"/>
      <c r="W77" s="11"/>
      <c r="X77" s="12">
        <v>46244</v>
      </c>
      <c r="Y77" s="11" t="s">
        <v>241</v>
      </c>
      <c r="Z77" s="19" t="str">
        <f t="shared" si="9"/>
        <v>Monday</v>
      </c>
      <c r="AA77" s="11">
        <f t="shared" si="13"/>
        <v>1</v>
      </c>
    </row>
    <row r="78" spans="1:27" ht="14.45" x14ac:dyDescent="0.3">
      <c r="A78" s="11">
        <v>76</v>
      </c>
      <c r="B78" s="11" t="s">
        <v>120</v>
      </c>
      <c r="C78" s="11">
        <v>110635</v>
      </c>
      <c r="D78" s="11" t="str">
        <f>VLOOKUP(B78,[1]Sheet1!$B$1028:$H$1180,7,0)</f>
        <v>B&amp;M</v>
      </c>
      <c r="E78" s="12">
        <v>46243</v>
      </c>
      <c r="F78" s="13">
        <v>0.71805555555555556</v>
      </c>
      <c r="G78" s="11" t="str">
        <f t="shared" si="14"/>
        <v>Sunday</v>
      </c>
      <c r="H78" s="11" t="s">
        <v>131</v>
      </c>
      <c r="I78" s="15">
        <v>46243</v>
      </c>
      <c r="J78" s="13">
        <v>0.76875000000000004</v>
      </c>
      <c r="K78" s="11" t="str">
        <f t="shared" si="15"/>
        <v>Sunday</v>
      </c>
      <c r="L78" s="11" t="str">
        <f t="shared" si="16"/>
        <v>0 Days 1.2 Hrs</v>
      </c>
      <c r="M78" s="12">
        <v>46244</v>
      </c>
      <c r="N78" s="13">
        <v>0.43055555555555558</v>
      </c>
      <c r="O78" s="11" t="str">
        <f t="shared" si="17"/>
        <v>Monday</v>
      </c>
      <c r="P78" s="11" t="str">
        <f t="shared" si="11"/>
        <v>0 Days 15.9 Hrs</v>
      </c>
      <c r="Q78" s="15">
        <v>46245</v>
      </c>
      <c r="R78" s="13">
        <v>0.43611111111111112</v>
      </c>
      <c r="S78" s="11" t="str">
        <f t="shared" si="18"/>
        <v>Tuesday</v>
      </c>
      <c r="T78" s="11" t="str">
        <f t="shared" si="12"/>
        <v>1 Days 0.1 Hrs</v>
      </c>
      <c r="U78" s="11"/>
      <c r="V78" s="11"/>
      <c r="W78" s="11"/>
      <c r="X78" s="12">
        <v>46245</v>
      </c>
      <c r="Y78" s="11" t="s">
        <v>241</v>
      </c>
      <c r="Z78" s="19" t="str">
        <f t="shared" si="9"/>
        <v>Tuesday</v>
      </c>
      <c r="AA78" s="11">
        <f t="shared" si="13"/>
        <v>2</v>
      </c>
    </row>
    <row r="79" spans="1:27" ht="14.45" x14ac:dyDescent="0.3">
      <c r="A79" s="11">
        <v>77</v>
      </c>
      <c r="B79" s="11" t="s">
        <v>121</v>
      </c>
      <c r="C79" s="11">
        <v>110650</v>
      </c>
      <c r="D79" s="11" t="str">
        <f>VLOOKUP(B79,[1]Sheet1!$B$1028:$H$1180,7,0)</f>
        <v>Mix</v>
      </c>
      <c r="E79" s="12">
        <v>46244</v>
      </c>
      <c r="F79" s="13">
        <v>0.3659722222222222</v>
      </c>
      <c r="G79" s="11" t="str">
        <f t="shared" si="14"/>
        <v>Monday</v>
      </c>
      <c r="H79" s="11"/>
      <c r="I79" s="15">
        <v>46244</v>
      </c>
      <c r="J79" s="13">
        <v>0.39305555555555555</v>
      </c>
      <c r="K79" s="11" t="str">
        <f t="shared" si="15"/>
        <v>Monday</v>
      </c>
      <c r="L79" s="11" t="str">
        <f t="shared" si="16"/>
        <v>0 Days 0.7 Hrs</v>
      </c>
      <c r="M79" s="12">
        <v>46244</v>
      </c>
      <c r="N79" s="13">
        <v>0.44236111111111109</v>
      </c>
      <c r="O79" s="11" t="str">
        <f t="shared" si="17"/>
        <v>Monday</v>
      </c>
      <c r="P79" s="11" t="str">
        <f t="shared" si="11"/>
        <v>0 Days 1.2 Hrs</v>
      </c>
      <c r="Q79" s="15">
        <v>46244</v>
      </c>
      <c r="R79" s="13">
        <v>0.44374999999999998</v>
      </c>
      <c r="S79" s="11" t="str">
        <f t="shared" si="18"/>
        <v>Monday</v>
      </c>
      <c r="T79" s="11" t="str">
        <f t="shared" si="12"/>
        <v>0 Days 0 Hrs</v>
      </c>
      <c r="U79" s="11"/>
      <c r="V79" s="11"/>
      <c r="W79" s="11"/>
      <c r="X79" s="12">
        <v>46244</v>
      </c>
      <c r="Y79" s="11" t="s">
        <v>174</v>
      </c>
      <c r="Z79" s="19" t="str">
        <f t="shared" si="9"/>
        <v>Monday</v>
      </c>
      <c r="AA79" s="11">
        <f t="shared" si="13"/>
        <v>0</v>
      </c>
    </row>
    <row r="80" spans="1:27" ht="14.45" x14ac:dyDescent="0.3">
      <c r="A80" s="11">
        <v>78</v>
      </c>
      <c r="B80" s="11" t="s">
        <v>122</v>
      </c>
      <c r="C80" s="11">
        <v>110651</v>
      </c>
      <c r="D80" s="11" t="str">
        <f>VLOOKUP(B80,[1]Sheet1!$B$1028:$H$1180,7,0)</f>
        <v>Mix</v>
      </c>
      <c r="E80" s="12">
        <v>46244</v>
      </c>
      <c r="F80" s="13">
        <v>0.37222222222222223</v>
      </c>
      <c r="G80" s="11" t="str">
        <f t="shared" si="14"/>
        <v>Monday</v>
      </c>
      <c r="H80" s="11"/>
      <c r="I80" s="15">
        <v>46244</v>
      </c>
      <c r="J80" s="13">
        <v>0.41180555555555554</v>
      </c>
      <c r="K80" s="11" t="str">
        <f t="shared" si="15"/>
        <v>Monday</v>
      </c>
      <c r="L80" s="11" t="str">
        <f t="shared" si="16"/>
        <v>0 Days 1 Hrs</v>
      </c>
      <c r="M80" s="12">
        <v>46244</v>
      </c>
      <c r="N80" s="13">
        <v>0.43958333333333333</v>
      </c>
      <c r="O80" s="11" t="str">
        <f t="shared" si="17"/>
        <v>Monday</v>
      </c>
      <c r="P80" s="11" t="str">
        <f t="shared" si="11"/>
        <v>0 Days 0.7 Hrs</v>
      </c>
      <c r="Q80" s="15">
        <v>46245</v>
      </c>
      <c r="R80" s="13">
        <v>0.43819444444444444</v>
      </c>
      <c r="S80" s="11" t="str">
        <f t="shared" si="18"/>
        <v>Tuesday</v>
      </c>
      <c r="T80" s="11" t="str">
        <f t="shared" si="12"/>
        <v>0 Days 24 Hrs</v>
      </c>
      <c r="U80" s="11"/>
      <c r="V80" s="11"/>
      <c r="W80" s="11"/>
      <c r="X80" s="12">
        <v>46245</v>
      </c>
      <c r="Y80" s="11" t="s">
        <v>174</v>
      </c>
      <c r="Z80" s="19" t="str">
        <f t="shared" si="9"/>
        <v>Tuesday</v>
      </c>
      <c r="AA80" s="11">
        <f t="shared" si="13"/>
        <v>1</v>
      </c>
    </row>
    <row r="81" spans="1:27" ht="14.45" x14ac:dyDescent="0.3">
      <c r="A81" s="11">
        <v>79</v>
      </c>
      <c r="B81" s="11" t="s">
        <v>123</v>
      </c>
      <c r="C81" s="11">
        <v>110653</v>
      </c>
      <c r="D81" s="11" t="str">
        <f>VLOOKUP(B81,[1]Sheet1!$B$1028:$H$1180,7,0)</f>
        <v>R&amp;B</v>
      </c>
      <c r="E81" s="12">
        <v>46244</v>
      </c>
      <c r="F81" s="13">
        <v>0.375</v>
      </c>
      <c r="G81" s="11" t="str">
        <f t="shared" si="14"/>
        <v>Monday</v>
      </c>
      <c r="H81" s="11"/>
      <c r="I81" s="15">
        <v>46244</v>
      </c>
      <c r="J81" s="13">
        <v>0.43680555555555556</v>
      </c>
      <c r="K81" s="11" t="str">
        <f t="shared" si="15"/>
        <v>Monday</v>
      </c>
      <c r="L81" s="11" t="str">
        <f t="shared" si="16"/>
        <v>0 Days 1.5 Hrs</v>
      </c>
      <c r="M81" s="12">
        <v>46244</v>
      </c>
      <c r="N81" s="13">
        <v>0.50138888888888888</v>
      </c>
      <c r="O81" s="11" t="str">
        <f t="shared" si="17"/>
        <v>Monday</v>
      </c>
      <c r="P81" s="11" t="str">
        <f t="shared" si="11"/>
        <v>0 Days 1.5 Hrs</v>
      </c>
      <c r="Q81" s="15">
        <v>46245</v>
      </c>
      <c r="R81" s="13">
        <v>0.66319444444444442</v>
      </c>
      <c r="S81" s="11" t="str">
        <f t="shared" si="18"/>
        <v>Tuesday</v>
      </c>
      <c r="T81" s="11" t="str">
        <f t="shared" si="12"/>
        <v>1 Days 3.9 Hrs</v>
      </c>
      <c r="U81" s="11"/>
      <c r="V81" s="11"/>
      <c r="W81" s="11"/>
      <c r="X81" s="12">
        <v>46245</v>
      </c>
      <c r="Y81" s="11" t="s">
        <v>241</v>
      </c>
      <c r="Z81" s="19" t="str">
        <f t="shared" si="9"/>
        <v>Tuesday</v>
      </c>
      <c r="AA81" s="11">
        <f t="shared" si="13"/>
        <v>1</v>
      </c>
    </row>
    <row r="82" spans="1:27" ht="14.45" x14ac:dyDescent="0.3">
      <c r="A82" s="11">
        <v>80</v>
      </c>
      <c r="B82" s="11" t="s">
        <v>124</v>
      </c>
      <c r="C82" s="11">
        <v>110694</v>
      </c>
      <c r="D82" s="11" t="str">
        <f>VLOOKUP(B82,[1]Sheet1!$B$1028:$H$1180,7,0)</f>
        <v>BBZ</v>
      </c>
      <c r="E82" s="12">
        <v>46244</v>
      </c>
      <c r="F82" s="13">
        <v>0.70625000000000004</v>
      </c>
      <c r="G82" s="11" t="str">
        <f t="shared" si="14"/>
        <v>Monday</v>
      </c>
      <c r="H82" s="11"/>
      <c r="I82" s="15">
        <v>46244</v>
      </c>
      <c r="J82" s="13">
        <v>0.73263888888888884</v>
      </c>
      <c r="K82" s="11" t="str">
        <f t="shared" si="15"/>
        <v>Monday</v>
      </c>
      <c r="L82" s="11" t="str">
        <f t="shared" si="16"/>
        <v>0 Days 0.6 Hrs</v>
      </c>
      <c r="M82" s="12">
        <v>46245</v>
      </c>
      <c r="N82" s="13">
        <v>0.47361111111111109</v>
      </c>
      <c r="O82" s="11" t="str">
        <f t="shared" si="17"/>
        <v>Tuesday</v>
      </c>
      <c r="P82" s="11" t="str">
        <f t="shared" si="11"/>
        <v>0 Days 17.8 Hrs</v>
      </c>
      <c r="Q82" s="15">
        <v>46245</v>
      </c>
      <c r="R82" s="13">
        <v>0.47499999999999998</v>
      </c>
      <c r="S82" s="11" t="str">
        <f t="shared" si="18"/>
        <v>Tuesday</v>
      </c>
      <c r="T82" s="11" t="str">
        <f t="shared" si="12"/>
        <v>0 Days 0 Hrs</v>
      </c>
      <c r="U82" s="11"/>
      <c r="V82" s="11"/>
      <c r="W82" s="11"/>
      <c r="X82" s="12">
        <v>46245</v>
      </c>
      <c r="Y82" s="11" t="s">
        <v>241</v>
      </c>
      <c r="Z82" s="19" t="str">
        <f t="shared" si="9"/>
        <v>Tuesday</v>
      </c>
      <c r="AA82" s="11">
        <f t="shared" si="13"/>
        <v>1</v>
      </c>
    </row>
    <row r="83" spans="1:27" ht="14.45" x14ac:dyDescent="0.3">
      <c r="A83" s="11">
        <v>81</v>
      </c>
      <c r="B83" s="11" t="s">
        <v>125</v>
      </c>
      <c r="C83" s="11">
        <v>110692</v>
      </c>
      <c r="D83" s="11" t="str">
        <f>VLOOKUP(B83,[1]Sheet1!$B$1028:$H$1180,7,0)</f>
        <v>R&amp;B</v>
      </c>
      <c r="E83" s="12">
        <v>46244</v>
      </c>
      <c r="F83" s="13">
        <v>0.70277777777777772</v>
      </c>
      <c r="G83" s="11" t="str">
        <f t="shared" si="14"/>
        <v>Monday</v>
      </c>
      <c r="H83" s="11"/>
      <c r="I83" s="15">
        <v>46244</v>
      </c>
      <c r="J83" s="13">
        <v>0.71597222222222223</v>
      </c>
      <c r="K83" s="11" t="str">
        <f t="shared" si="15"/>
        <v>Monday</v>
      </c>
      <c r="L83" s="11" t="str">
        <f t="shared" si="16"/>
        <v>0 Days 0.3 Hrs</v>
      </c>
      <c r="M83" s="12">
        <v>46245</v>
      </c>
      <c r="N83" s="13">
        <v>0.38055555555555554</v>
      </c>
      <c r="O83" s="11" t="str">
        <f t="shared" si="17"/>
        <v>Tuesday</v>
      </c>
      <c r="P83" s="11" t="str">
        <f t="shared" si="11"/>
        <v>0 Days 16 Hrs</v>
      </c>
      <c r="Q83" s="15">
        <v>46245</v>
      </c>
      <c r="R83" s="13">
        <v>0.40486111111111112</v>
      </c>
      <c r="S83" s="11" t="str">
        <f t="shared" si="18"/>
        <v>Tuesday</v>
      </c>
      <c r="T83" s="11" t="str">
        <f t="shared" si="12"/>
        <v>0 Days 0.6 Hrs</v>
      </c>
      <c r="U83" s="11"/>
      <c r="V83" s="11"/>
      <c r="W83" s="11"/>
      <c r="X83" s="12">
        <v>46245</v>
      </c>
      <c r="Y83" s="11" t="s">
        <v>241</v>
      </c>
      <c r="Z83" s="19" t="str">
        <f t="shared" si="9"/>
        <v>Tuesday</v>
      </c>
      <c r="AA83" s="11">
        <f t="shared" si="13"/>
        <v>1</v>
      </c>
    </row>
    <row r="84" spans="1:27" ht="14.45" x14ac:dyDescent="0.3">
      <c r="A84" s="11">
        <v>82</v>
      </c>
      <c r="B84" s="11" t="s">
        <v>126</v>
      </c>
      <c r="C84" s="11">
        <v>110695</v>
      </c>
      <c r="D84" s="11" t="str">
        <f>VLOOKUP(B84,[1]Sheet1!$B$1028:$H$1180,7,0)</f>
        <v>ADI</v>
      </c>
      <c r="E84" s="12">
        <v>46244</v>
      </c>
      <c r="F84" s="13">
        <v>0.70972222222222225</v>
      </c>
      <c r="G84" s="11" t="str">
        <f t="shared" si="14"/>
        <v>Monday</v>
      </c>
      <c r="H84" s="11"/>
      <c r="I84" s="15">
        <v>46244</v>
      </c>
      <c r="J84" s="13">
        <v>0.72222222222222221</v>
      </c>
      <c r="K84" s="11" t="str">
        <f t="shared" si="15"/>
        <v>Monday</v>
      </c>
      <c r="L84" s="11" t="str">
        <f t="shared" si="16"/>
        <v>0 Days 0.3 Hrs</v>
      </c>
      <c r="M84" s="12">
        <v>46245</v>
      </c>
      <c r="N84" s="13">
        <v>0.38750000000000001</v>
      </c>
      <c r="O84" s="11" t="str">
        <f t="shared" si="17"/>
        <v>Tuesday</v>
      </c>
      <c r="P84" s="11" t="str">
        <f t="shared" si="11"/>
        <v>0 Days 16 Hrs</v>
      </c>
      <c r="Q84" s="15">
        <v>46245</v>
      </c>
      <c r="R84" s="13">
        <v>0.40555555555555556</v>
      </c>
      <c r="S84" s="11" t="str">
        <f t="shared" si="18"/>
        <v>Tuesday</v>
      </c>
      <c r="T84" s="11" t="str">
        <f t="shared" si="12"/>
        <v>0 Days 0.4 Hrs</v>
      </c>
      <c r="U84" s="11"/>
      <c r="V84" s="11"/>
      <c r="W84" s="11"/>
      <c r="X84" s="12">
        <v>46245</v>
      </c>
      <c r="Y84" s="11" t="s">
        <v>241</v>
      </c>
      <c r="Z84" s="19" t="str">
        <f t="shared" si="9"/>
        <v>Tuesday</v>
      </c>
      <c r="AA84" s="11">
        <f t="shared" si="13"/>
        <v>1</v>
      </c>
    </row>
    <row r="85" spans="1:27" ht="14.45" x14ac:dyDescent="0.3">
      <c r="A85" s="11">
        <v>83</v>
      </c>
      <c r="B85" s="11" t="s">
        <v>127</v>
      </c>
      <c r="C85" s="11">
        <v>110696</v>
      </c>
      <c r="D85" s="11" t="str">
        <f>VLOOKUP(B85,[1]Sheet1!$B$1028:$H$1180,7,0)</f>
        <v>B&amp;M , HOKA</v>
      </c>
      <c r="E85" s="12">
        <v>46244</v>
      </c>
      <c r="F85" s="13">
        <v>0.71250000000000002</v>
      </c>
      <c r="G85" s="11" t="str">
        <f t="shared" si="14"/>
        <v>Monday</v>
      </c>
      <c r="H85" s="11"/>
      <c r="I85" s="15">
        <v>46244</v>
      </c>
      <c r="J85" s="13">
        <v>0.73750000000000004</v>
      </c>
      <c r="K85" s="11" t="str">
        <f t="shared" si="15"/>
        <v>Monday</v>
      </c>
      <c r="L85" s="11" t="str">
        <f t="shared" si="16"/>
        <v>0 Days 0.6 Hrs</v>
      </c>
      <c r="M85" s="12">
        <v>46245</v>
      </c>
      <c r="N85" s="13">
        <v>0.41319444444444442</v>
      </c>
      <c r="O85" s="11" t="str">
        <f t="shared" si="17"/>
        <v>Tuesday</v>
      </c>
      <c r="P85" s="11" t="str">
        <f t="shared" si="11"/>
        <v>0 Days 16.2 Hrs</v>
      </c>
      <c r="Q85" s="15">
        <v>46245</v>
      </c>
      <c r="R85" s="13">
        <v>0.4152777777777778</v>
      </c>
      <c r="S85" s="11" t="str">
        <f t="shared" si="18"/>
        <v>Tuesday</v>
      </c>
      <c r="T85" s="11" t="str">
        <f t="shared" si="12"/>
        <v>0 Days 0 Hrs</v>
      </c>
      <c r="U85" s="11"/>
      <c r="V85" s="11"/>
      <c r="W85" s="11"/>
      <c r="X85" s="12">
        <v>46245</v>
      </c>
      <c r="Y85" s="11" t="s">
        <v>241</v>
      </c>
      <c r="Z85" s="19" t="str">
        <f t="shared" si="9"/>
        <v>Tuesday</v>
      </c>
      <c r="AA85" s="11">
        <f t="shared" si="13"/>
        <v>1</v>
      </c>
    </row>
    <row r="86" spans="1:27" ht="14.45" x14ac:dyDescent="0.3">
      <c r="A86" s="11">
        <v>84</v>
      </c>
      <c r="B86" s="11" t="s">
        <v>128</v>
      </c>
      <c r="C86" s="11">
        <v>110697</v>
      </c>
      <c r="D86" s="11" t="str">
        <f>VLOOKUP(B86,[1]Sheet1!$B$1028:$H$1180,7,0)</f>
        <v>Mix</v>
      </c>
      <c r="E86" s="12">
        <v>46244</v>
      </c>
      <c r="F86" s="13">
        <v>0.53402777777777777</v>
      </c>
      <c r="G86" s="11" t="str">
        <f t="shared" si="14"/>
        <v>Monday</v>
      </c>
      <c r="H86" s="11"/>
      <c r="I86" s="15">
        <v>46244</v>
      </c>
      <c r="J86" s="13">
        <v>0.75069444444444444</v>
      </c>
      <c r="K86" s="11" t="str">
        <f t="shared" si="15"/>
        <v>Monday</v>
      </c>
      <c r="L86" s="11" t="str">
        <f t="shared" si="16"/>
        <v>0 Days 5.2 Hrs</v>
      </c>
      <c r="M86" s="12">
        <v>46245</v>
      </c>
      <c r="N86" s="13">
        <v>0.41041666666666665</v>
      </c>
      <c r="O86" s="11" t="str">
        <f t="shared" si="17"/>
        <v>Tuesday</v>
      </c>
      <c r="P86" s="11" t="str">
        <f t="shared" si="11"/>
        <v>0 Days 15.8 Hrs</v>
      </c>
      <c r="Q86" s="15">
        <v>46245</v>
      </c>
      <c r="R86" s="13">
        <v>0.41458333333333336</v>
      </c>
      <c r="S86" s="11" t="str">
        <f t="shared" si="18"/>
        <v>Tuesday</v>
      </c>
      <c r="T86" s="11" t="str">
        <f t="shared" si="12"/>
        <v>0 Days 0.1 Hrs</v>
      </c>
      <c r="U86" s="11"/>
      <c r="V86" s="11"/>
      <c r="W86" s="11"/>
      <c r="X86" s="12">
        <v>46245</v>
      </c>
      <c r="Y86" s="11" t="s">
        <v>174</v>
      </c>
      <c r="Z86" s="19" t="str">
        <f t="shared" si="9"/>
        <v>Tuesday</v>
      </c>
      <c r="AA86" s="11">
        <f t="shared" si="13"/>
        <v>1</v>
      </c>
    </row>
    <row r="87" spans="1:27" ht="14.45" x14ac:dyDescent="0.3">
      <c r="A87" s="11">
        <v>85</v>
      </c>
      <c r="B87" s="11" t="s">
        <v>129</v>
      </c>
      <c r="C87" s="11">
        <v>110698</v>
      </c>
      <c r="D87" s="11" t="str">
        <f>VLOOKUP(B87,[1]Sheet1!$B$1028:$H$1180,7,0)</f>
        <v>DP</v>
      </c>
      <c r="E87" s="12">
        <v>46244</v>
      </c>
      <c r="F87" s="13">
        <v>0.72152777777777777</v>
      </c>
      <c r="G87" s="11" t="str">
        <f t="shared" si="14"/>
        <v>Monday</v>
      </c>
      <c r="H87" s="16">
        <v>46245.68472222222</v>
      </c>
      <c r="I87" s="15">
        <v>46245</v>
      </c>
      <c r="J87" s="13">
        <v>0.71736111111111112</v>
      </c>
      <c r="K87" s="11" t="str">
        <f t="shared" si="15"/>
        <v>Tuesday</v>
      </c>
      <c r="L87" s="11" t="str">
        <f t="shared" si="16"/>
        <v>0 Days 23.9 Hrs</v>
      </c>
      <c r="M87" s="12">
        <v>46246</v>
      </c>
      <c r="N87" s="13">
        <v>0.5083333333333333</v>
      </c>
      <c r="O87" s="11" t="str">
        <f t="shared" si="17"/>
        <v>Wednesday</v>
      </c>
      <c r="P87" s="11" t="str">
        <f t="shared" si="11"/>
        <v>0 Days 19 Hrs</v>
      </c>
      <c r="Q87" s="15">
        <v>46246</v>
      </c>
      <c r="R87" s="13">
        <v>0.67569444444444449</v>
      </c>
      <c r="S87" s="11" t="str">
        <f t="shared" si="18"/>
        <v>Wednesday</v>
      </c>
      <c r="T87" s="11" t="str">
        <f t="shared" si="12"/>
        <v>0 Days 4 Hrs</v>
      </c>
      <c r="U87" s="11"/>
      <c r="V87" s="11"/>
      <c r="W87" s="11"/>
      <c r="X87" s="12">
        <v>46247</v>
      </c>
      <c r="Y87" s="11" t="s">
        <v>241</v>
      </c>
      <c r="Z87" s="19" t="str">
        <f t="shared" si="9"/>
        <v>Thursday</v>
      </c>
      <c r="AA87" s="11">
        <f t="shared" si="13"/>
        <v>3</v>
      </c>
    </row>
    <row r="88" spans="1:27" ht="14.45" x14ac:dyDescent="0.3">
      <c r="A88" s="11">
        <v>86</v>
      </c>
      <c r="B88" s="11" t="s">
        <v>130</v>
      </c>
      <c r="C88" s="11">
        <v>110722</v>
      </c>
      <c r="D88" s="11" t="str">
        <f>VLOOKUP(B88,[1]Sheet1!$B$1028:$H$1180,7,0)</f>
        <v>Mix</v>
      </c>
      <c r="E88" s="12">
        <v>46245</v>
      </c>
      <c r="F88" s="13">
        <v>0.37569444444444444</v>
      </c>
      <c r="G88" s="11" t="str">
        <f t="shared" si="14"/>
        <v>Tuesday</v>
      </c>
      <c r="H88" s="11"/>
      <c r="I88" s="15">
        <v>46245</v>
      </c>
      <c r="J88" s="13">
        <v>0.39652777777777776</v>
      </c>
      <c r="K88" s="11" t="str">
        <f t="shared" si="15"/>
        <v>Tuesday</v>
      </c>
      <c r="L88" s="11" t="str">
        <f t="shared" si="16"/>
        <v>0 Days 0.5 Hrs</v>
      </c>
      <c r="M88" s="12">
        <v>46245</v>
      </c>
      <c r="N88" s="13">
        <v>0.42777777777777776</v>
      </c>
      <c r="O88" s="11" t="str">
        <f t="shared" si="17"/>
        <v>Tuesday</v>
      </c>
      <c r="P88" s="11" t="str">
        <f t="shared" si="11"/>
        <v>0 Days 0.8 Hrs</v>
      </c>
      <c r="Q88" s="15">
        <v>46245</v>
      </c>
      <c r="R88" s="13">
        <v>0.43055555555555558</v>
      </c>
      <c r="S88" s="11" t="str">
        <f t="shared" si="18"/>
        <v>Tuesday</v>
      </c>
      <c r="T88" s="11" t="str">
        <f t="shared" si="12"/>
        <v>0 Days 0.1 Hrs</v>
      </c>
      <c r="U88" s="11"/>
      <c r="V88" s="11"/>
      <c r="W88" s="11"/>
      <c r="X88" s="12">
        <v>46245</v>
      </c>
      <c r="Y88" s="11" t="s">
        <v>174</v>
      </c>
      <c r="Z88" s="19" t="str">
        <f t="shared" si="9"/>
        <v>Tuesday</v>
      </c>
      <c r="AA88" s="11">
        <f t="shared" si="13"/>
        <v>0</v>
      </c>
    </row>
    <row r="89" spans="1:27" ht="14.45" x14ac:dyDescent="0.3">
      <c r="A89" s="11">
        <v>87</v>
      </c>
      <c r="B89" s="11" t="s">
        <v>13</v>
      </c>
      <c r="C89" s="11">
        <v>110703</v>
      </c>
      <c r="D89" s="11" t="str">
        <f>VLOOKUP(B89,[1]Sheet1!$B$1028:$H$1180,7,0)</f>
        <v>ASICS</v>
      </c>
      <c r="E89" s="12">
        <v>46245</v>
      </c>
      <c r="F89" s="13">
        <v>0.38750000000000001</v>
      </c>
      <c r="G89" s="11" t="str">
        <f t="shared" si="14"/>
        <v>Tuesday</v>
      </c>
      <c r="H89" s="11"/>
      <c r="I89" s="15">
        <v>46245</v>
      </c>
      <c r="J89" s="13">
        <v>0.40555555555555556</v>
      </c>
      <c r="K89" s="11" t="str">
        <f t="shared" si="15"/>
        <v>Tuesday</v>
      </c>
      <c r="L89" s="11" t="str">
        <f t="shared" si="16"/>
        <v>0 Days 0.4 Hrs</v>
      </c>
      <c r="M89" s="12">
        <v>46245</v>
      </c>
      <c r="N89" s="13">
        <v>0.43402777777777779</v>
      </c>
      <c r="O89" s="11" t="str">
        <f t="shared" si="17"/>
        <v>Tuesday</v>
      </c>
      <c r="P89" s="11" t="str">
        <f t="shared" si="11"/>
        <v>0 Days 0.7 Hrs</v>
      </c>
      <c r="Q89" s="15">
        <v>46245</v>
      </c>
      <c r="R89" s="13">
        <v>0.43888888888888888</v>
      </c>
      <c r="S89" s="11" t="str">
        <f t="shared" si="18"/>
        <v>Tuesday</v>
      </c>
      <c r="T89" s="11" t="str">
        <f t="shared" si="12"/>
        <v>0 Days 0.1 Hrs</v>
      </c>
      <c r="U89" s="11"/>
      <c r="V89" s="11"/>
      <c r="W89" s="11"/>
      <c r="X89" s="12">
        <v>46245</v>
      </c>
      <c r="Y89" s="11" t="s">
        <v>241</v>
      </c>
      <c r="Z89" s="19" t="str">
        <f t="shared" si="9"/>
        <v>Tuesday</v>
      </c>
      <c r="AA89" s="11">
        <f t="shared" si="13"/>
        <v>0</v>
      </c>
    </row>
    <row r="90" spans="1:27" ht="14.45" x14ac:dyDescent="0.3">
      <c r="A90" s="11">
        <v>88</v>
      </c>
      <c r="B90" s="11" t="s">
        <v>14</v>
      </c>
      <c r="C90" s="11">
        <v>110725</v>
      </c>
      <c r="D90" s="11" t="str">
        <f>VLOOKUP(B90,[1]Sheet1!$B$1028:$H$1180,7,0)</f>
        <v>B&amp;M</v>
      </c>
      <c r="E90" s="12">
        <v>46245</v>
      </c>
      <c r="F90" s="13">
        <v>0.38194444444444442</v>
      </c>
      <c r="G90" s="11" t="str">
        <f t="shared" si="14"/>
        <v>Tuesday</v>
      </c>
      <c r="H90" s="11" t="s">
        <v>131</v>
      </c>
      <c r="I90" s="15">
        <v>46245</v>
      </c>
      <c r="J90" s="13">
        <v>0.54236111111111107</v>
      </c>
      <c r="K90" s="11" t="str">
        <f t="shared" si="15"/>
        <v>Tuesday</v>
      </c>
      <c r="L90" s="11" t="str">
        <f t="shared" si="16"/>
        <v>0 Days 3.8 Hrs</v>
      </c>
      <c r="M90" s="12">
        <v>46245</v>
      </c>
      <c r="N90" s="13">
        <v>0.74861111111111112</v>
      </c>
      <c r="O90" s="11" t="str">
        <f t="shared" si="17"/>
        <v>Tuesday</v>
      </c>
      <c r="P90" s="11" t="str">
        <f t="shared" si="11"/>
        <v>0 Days 5 Hrs</v>
      </c>
      <c r="Q90" s="15">
        <v>46247</v>
      </c>
      <c r="R90" s="13">
        <v>0.66805555555555551</v>
      </c>
      <c r="S90" s="11" t="str">
        <f t="shared" si="18"/>
        <v>Thursday</v>
      </c>
      <c r="T90" s="11" t="str">
        <f t="shared" si="12"/>
        <v>1 Days 22.1 Hrs</v>
      </c>
      <c r="U90" s="11"/>
      <c r="V90" s="11"/>
      <c r="W90" s="11"/>
      <c r="X90" s="12">
        <v>46249</v>
      </c>
      <c r="Y90" s="11" t="s">
        <v>241</v>
      </c>
      <c r="Z90" s="19" t="str">
        <f t="shared" si="9"/>
        <v>Saturday</v>
      </c>
      <c r="AA90" s="11">
        <f t="shared" si="13"/>
        <v>4</v>
      </c>
    </row>
    <row r="91" spans="1:27" ht="14.45" x14ac:dyDescent="0.3">
      <c r="A91" s="11">
        <v>89</v>
      </c>
      <c r="B91" s="11" t="s">
        <v>15</v>
      </c>
      <c r="C91" s="11">
        <v>110704</v>
      </c>
      <c r="D91" s="11" t="str">
        <f>VLOOKUP(B91,[1]Sheet1!$B$1028:$H$1180,7,0)</f>
        <v>DP</v>
      </c>
      <c r="E91" s="12">
        <v>46245</v>
      </c>
      <c r="F91" s="13">
        <v>0.38541666666666669</v>
      </c>
      <c r="G91" s="11" t="str">
        <f t="shared" si="14"/>
        <v>Tuesday</v>
      </c>
      <c r="H91" s="16">
        <v>46246.48333333333</v>
      </c>
      <c r="I91" s="15">
        <v>46246</v>
      </c>
      <c r="J91" s="13">
        <v>0.53333333333333333</v>
      </c>
      <c r="K91" s="11" t="str">
        <f t="shared" si="15"/>
        <v>Wednesday</v>
      </c>
      <c r="L91" s="11" t="str">
        <f t="shared" si="16"/>
        <v>1 Days 3.6 Hrs</v>
      </c>
      <c r="M91" s="12">
        <v>46246</v>
      </c>
      <c r="N91" s="13">
        <v>0.59513888888888888</v>
      </c>
      <c r="O91" s="11" t="str">
        <f t="shared" si="17"/>
        <v>Wednesday</v>
      </c>
      <c r="P91" s="11" t="str">
        <f t="shared" si="11"/>
        <v>0 Days 1.5 Hrs</v>
      </c>
      <c r="Q91" s="15">
        <v>46246</v>
      </c>
      <c r="R91" s="13">
        <v>0.67569444444444449</v>
      </c>
      <c r="S91" s="11" t="str">
        <f t="shared" si="18"/>
        <v>Wednesday</v>
      </c>
      <c r="T91" s="11" t="str">
        <f t="shared" si="12"/>
        <v>0 Days 1.9 Hrs</v>
      </c>
      <c r="U91" s="11"/>
      <c r="V91" s="11"/>
      <c r="W91" s="11"/>
      <c r="X91" s="12">
        <v>46247</v>
      </c>
      <c r="Y91" s="11" t="s">
        <v>241</v>
      </c>
      <c r="Z91" s="19" t="str">
        <f t="shared" si="9"/>
        <v>Thursday</v>
      </c>
      <c r="AA91" s="11">
        <f t="shared" si="13"/>
        <v>2</v>
      </c>
    </row>
    <row r="92" spans="1:27" ht="14.45" x14ac:dyDescent="0.3">
      <c r="A92" s="11">
        <v>90</v>
      </c>
      <c r="B92" s="11" t="s">
        <v>16</v>
      </c>
      <c r="C92" s="11">
        <v>110746</v>
      </c>
      <c r="D92" s="11" t="str">
        <f>VLOOKUP(B92,[1]Sheet1!$B$1028:$H$1180,7,0)</f>
        <v>Mix</v>
      </c>
      <c r="E92" s="12">
        <v>46245</v>
      </c>
      <c r="F92" s="13">
        <v>0.70277777777777772</v>
      </c>
      <c r="G92" s="11" t="str">
        <f t="shared" si="14"/>
        <v>Tuesday</v>
      </c>
      <c r="H92" s="11"/>
      <c r="I92" s="15">
        <v>46245</v>
      </c>
      <c r="J92" s="13">
        <v>0.72013888888888888</v>
      </c>
      <c r="K92" s="11" t="str">
        <f t="shared" si="15"/>
        <v>Tuesday</v>
      </c>
      <c r="L92" s="11" t="str">
        <f t="shared" si="16"/>
        <v>0 Days 0.4 Hrs</v>
      </c>
      <c r="M92" s="12">
        <v>46246</v>
      </c>
      <c r="N92" s="13">
        <v>0.40833333333333333</v>
      </c>
      <c r="O92" s="11" t="str">
        <f t="shared" si="17"/>
        <v>Wednesday</v>
      </c>
      <c r="P92" s="11" t="str">
        <f t="shared" si="11"/>
        <v>0 Days 16.5 Hrs</v>
      </c>
      <c r="Q92" s="15">
        <v>46246</v>
      </c>
      <c r="R92" s="13">
        <v>0.42222222222222222</v>
      </c>
      <c r="S92" s="11" t="str">
        <f t="shared" si="18"/>
        <v>Wednesday</v>
      </c>
      <c r="T92" s="11" t="str">
        <f t="shared" si="12"/>
        <v>0 Days 0.3 Hrs</v>
      </c>
      <c r="U92" s="11"/>
      <c r="V92" s="11"/>
      <c r="W92" s="11"/>
      <c r="X92" s="12">
        <v>46246</v>
      </c>
      <c r="Y92" s="11" t="s">
        <v>174</v>
      </c>
      <c r="Z92" s="19" t="str">
        <f t="shared" si="9"/>
        <v>Wednesday</v>
      </c>
      <c r="AA92" s="11">
        <f t="shared" si="13"/>
        <v>1</v>
      </c>
    </row>
    <row r="93" spans="1:27" ht="14.45" x14ac:dyDescent="0.3">
      <c r="A93" s="11">
        <v>91</v>
      </c>
      <c r="B93" s="11" t="s">
        <v>17</v>
      </c>
      <c r="C93" s="11">
        <v>110747</v>
      </c>
      <c r="D93" s="11" t="str">
        <f>VLOOKUP(B93,[1]Sheet1!$B$1028:$H$1180,7,0)</f>
        <v>R&amp;B</v>
      </c>
      <c r="E93" s="12">
        <v>46245</v>
      </c>
      <c r="F93" s="13">
        <v>0.70625000000000004</v>
      </c>
      <c r="G93" s="11" t="str">
        <f t="shared" si="14"/>
        <v>Tuesday</v>
      </c>
      <c r="H93" s="11"/>
      <c r="I93" s="15">
        <v>46245</v>
      </c>
      <c r="J93" s="13">
        <v>0.73124999999999996</v>
      </c>
      <c r="K93" s="11" t="str">
        <f t="shared" si="15"/>
        <v>Tuesday</v>
      </c>
      <c r="L93" s="11" t="str">
        <f t="shared" si="16"/>
        <v>0 Days 0.6 Hrs</v>
      </c>
      <c r="M93" s="12">
        <v>46246</v>
      </c>
      <c r="N93" s="13">
        <v>0.41249999999999998</v>
      </c>
      <c r="O93" s="11" t="str">
        <f t="shared" si="17"/>
        <v>Wednesday</v>
      </c>
      <c r="P93" s="11" t="str">
        <f t="shared" si="11"/>
        <v>0 Days 16.4 Hrs</v>
      </c>
      <c r="Q93" s="15">
        <v>46246</v>
      </c>
      <c r="R93" s="13">
        <v>0.42083333333333334</v>
      </c>
      <c r="S93" s="11" t="str">
        <f t="shared" si="18"/>
        <v>Wednesday</v>
      </c>
      <c r="T93" s="11" t="str">
        <f t="shared" si="12"/>
        <v>0 Days 0.2 Hrs</v>
      </c>
      <c r="U93" s="11"/>
      <c r="V93" s="11"/>
      <c r="W93" s="11"/>
      <c r="X93" s="12">
        <v>46246</v>
      </c>
      <c r="Y93" s="11" t="s">
        <v>241</v>
      </c>
      <c r="Z93" s="19" t="str">
        <f t="shared" ref="Z93:Z138" si="19">TEXT(X93,"dddd")</f>
        <v>Wednesday</v>
      </c>
      <c r="AA93" s="11">
        <f t="shared" si="13"/>
        <v>1</v>
      </c>
    </row>
    <row r="94" spans="1:27" ht="14.45" x14ac:dyDescent="0.3">
      <c r="A94" s="11">
        <v>92</v>
      </c>
      <c r="B94" s="11" t="s">
        <v>18</v>
      </c>
      <c r="C94" s="11">
        <v>110748</v>
      </c>
      <c r="D94" s="11" t="str">
        <f>VLOOKUP(B94,[1]Sheet1!$B$1028:$H$1180,7,0)</f>
        <v>BBZ</v>
      </c>
      <c r="E94" s="12">
        <v>46245</v>
      </c>
      <c r="F94" s="13">
        <v>0.72222222222222221</v>
      </c>
      <c r="G94" s="11" t="str">
        <f t="shared" si="14"/>
        <v>Tuesday</v>
      </c>
      <c r="H94" s="11"/>
      <c r="I94" s="15">
        <v>46245</v>
      </c>
      <c r="J94" s="13">
        <v>0.74652777777777779</v>
      </c>
      <c r="K94" s="11" t="str">
        <f t="shared" si="15"/>
        <v>Tuesday</v>
      </c>
      <c r="L94" s="11" t="str">
        <f t="shared" si="16"/>
        <v>0 Days 0.6 Hrs</v>
      </c>
      <c r="M94" s="12">
        <v>46246</v>
      </c>
      <c r="N94" s="13">
        <v>0.39027777777777778</v>
      </c>
      <c r="O94" s="11" t="str">
        <f t="shared" si="17"/>
        <v>Wednesday</v>
      </c>
      <c r="P94" s="11" t="str">
        <f t="shared" si="11"/>
        <v>0 Days 15.4 Hrs</v>
      </c>
      <c r="Q94" s="15">
        <v>46246</v>
      </c>
      <c r="R94" s="13">
        <v>0.44930555555555557</v>
      </c>
      <c r="S94" s="11" t="str">
        <f t="shared" si="18"/>
        <v>Wednesday</v>
      </c>
      <c r="T94" s="11" t="str">
        <f t="shared" si="12"/>
        <v>0 Days 1.4 Hrs</v>
      </c>
      <c r="U94" s="11"/>
      <c r="V94" s="11"/>
      <c r="W94" s="11"/>
      <c r="X94" s="12">
        <v>46246</v>
      </c>
      <c r="Y94" s="11" t="s">
        <v>241</v>
      </c>
      <c r="Z94" s="19" t="str">
        <f t="shared" si="19"/>
        <v>Wednesday</v>
      </c>
      <c r="AA94" s="11">
        <f t="shared" si="13"/>
        <v>1</v>
      </c>
    </row>
    <row r="95" spans="1:27" ht="14.45" x14ac:dyDescent="0.3">
      <c r="A95" s="11">
        <v>93</v>
      </c>
      <c r="B95" s="11" t="s">
        <v>19</v>
      </c>
      <c r="C95" s="11">
        <v>110771</v>
      </c>
      <c r="D95" s="11" t="str">
        <f>VLOOKUP(B95,[1]Sheet1!$B$1028:$H$1180,7,0)</f>
        <v>Mix</v>
      </c>
      <c r="E95" s="12">
        <v>46246</v>
      </c>
      <c r="F95" s="13">
        <v>0.36805555555555558</v>
      </c>
      <c r="G95" s="11" t="str">
        <f t="shared" si="14"/>
        <v>Wednesday</v>
      </c>
      <c r="H95" s="11"/>
      <c r="I95" s="15">
        <v>46246</v>
      </c>
      <c r="J95" s="13">
        <v>0.39791666666666664</v>
      </c>
      <c r="K95" s="11" t="str">
        <f t="shared" si="15"/>
        <v>Wednesday</v>
      </c>
      <c r="L95" s="11" t="str">
        <f t="shared" si="16"/>
        <v>0 Days 0.7 Hrs</v>
      </c>
      <c r="M95" s="12">
        <v>46246</v>
      </c>
      <c r="N95" s="13">
        <v>0.51041666666666663</v>
      </c>
      <c r="O95" s="11" t="str">
        <f t="shared" si="17"/>
        <v>Wednesday</v>
      </c>
      <c r="P95" s="11" t="str">
        <f t="shared" si="11"/>
        <v>0 Days 2.7 Hrs</v>
      </c>
      <c r="Q95" s="15">
        <v>46247</v>
      </c>
      <c r="R95" s="13">
        <v>0.43055555555555558</v>
      </c>
      <c r="S95" s="11" t="str">
        <f t="shared" si="18"/>
        <v>Thursday</v>
      </c>
      <c r="T95" s="11" t="str">
        <f t="shared" si="12"/>
        <v>0 Days 22.1 Hrs</v>
      </c>
      <c r="U95" s="11"/>
      <c r="V95" s="11"/>
      <c r="W95" s="11"/>
      <c r="X95" s="12">
        <v>46247</v>
      </c>
      <c r="Y95" s="11" t="s">
        <v>174</v>
      </c>
      <c r="Z95" s="19" t="str">
        <f t="shared" si="19"/>
        <v>Thursday</v>
      </c>
      <c r="AA95" s="11">
        <f t="shared" si="13"/>
        <v>1</v>
      </c>
    </row>
    <row r="96" spans="1:27" ht="14.45" x14ac:dyDescent="0.3">
      <c r="A96" s="11">
        <v>94</v>
      </c>
      <c r="B96" s="11" t="s">
        <v>20</v>
      </c>
      <c r="C96" s="11">
        <v>110772</v>
      </c>
      <c r="D96" s="11" t="str">
        <f>VLOOKUP(B96,[1]Sheet1!$B$1028:$H$1180,7,0)</f>
        <v>Mix</v>
      </c>
      <c r="E96" s="12">
        <v>46246</v>
      </c>
      <c r="F96" s="13">
        <v>0.37013888888888891</v>
      </c>
      <c r="G96" s="11" t="str">
        <f t="shared" si="14"/>
        <v>Wednesday</v>
      </c>
      <c r="H96" s="11"/>
      <c r="I96" s="15">
        <v>46246</v>
      </c>
      <c r="J96" s="13">
        <v>0.41180555555555554</v>
      </c>
      <c r="K96" s="11" t="str">
        <f t="shared" si="15"/>
        <v>Wednesday</v>
      </c>
      <c r="L96" s="11" t="str">
        <f t="shared" si="16"/>
        <v>0 Days 1 Hrs</v>
      </c>
      <c r="M96" s="12">
        <v>46246</v>
      </c>
      <c r="N96" s="13">
        <v>0.50972222222222219</v>
      </c>
      <c r="O96" s="11" t="str">
        <f t="shared" si="17"/>
        <v>Wednesday</v>
      </c>
      <c r="P96" s="11" t="str">
        <f t="shared" si="11"/>
        <v>0 Days 2.3 Hrs</v>
      </c>
      <c r="Q96" s="15">
        <v>46247</v>
      </c>
      <c r="R96" s="13">
        <v>0.43194444444444446</v>
      </c>
      <c r="S96" s="11" t="str">
        <f t="shared" si="18"/>
        <v>Thursday</v>
      </c>
      <c r="T96" s="11" t="str">
        <f t="shared" si="12"/>
        <v>0 Days 22.1 Hrs</v>
      </c>
      <c r="U96" s="11"/>
      <c r="V96" s="11"/>
      <c r="W96" s="11"/>
      <c r="X96" s="12">
        <v>46247</v>
      </c>
      <c r="Y96" s="11" t="s">
        <v>174</v>
      </c>
      <c r="Z96" s="19" t="str">
        <f t="shared" si="19"/>
        <v>Thursday</v>
      </c>
      <c r="AA96" s="11">
        <f t="shared" si="13"/>
        <v>1</v>
      </c>
    </row>
    <row r="97" spans="1:27" ht="14.45" x14ac:dyDescent="0.3">
      <c r="A97" s="11">
        <v>95</v>
      </c>
      <c r="B97" s="11" t="s">
        <v>21</v>
      </c>
      <c r="C97" s="11">
        <v>110773</v>
      </c>
      <c r="D97" s="11" t="str">
        <f>VLOOKUP(B97,[1]Sheet1!$B$1028:$H$1180,7,0)</f>
        <v>ADI</v>
      </c>
      <c r="E97" s="12">
        <v>46246</v>
      </c>
      <c r="F97" s="13">
        <v>0.37361111111111112</v>
      </c>
      <c r="G97" s="11" t="str">
        <f t="shared" si="14"/>
        <v>Wednesday</v>
      </c>
      <c r="H97" s="11"/>
      <c r="I97" s="15">
        <v>46246</v>
      </c>
      <c r="J97" s="13">
        <v>0.42083333333333334</v>
      </c>
      <c r="K97" s="11" t="str">
        <f t="shared" si="15"/>
        <v>Wednesday</v>
      </c>
      <c r="L97" s="11" t="str">
        <f t="shared" si="16"/>
        <v>0 Days 1.1 Hrs</v>
      </c>
      <c r="M97" s="12">
        <v>46246</v>
      </c>
      <c r="N97" s="13">
        <v>0.52638888888888891</v>
      </c>
      <c r="O97" s="11" t="str">
        <f t="shared" si="17"/>
        <v>Wednesday</v>
      </c>
      <c r="P97" s="11" t="str">
        <f t="shared" si="11"/>
        <v>0 Days 2.5 Hrs</v>
      </c>
      <c r="Q97" s="15">
        <v>46247</v>
      </c>
      <c r="R97" s="13">
        <v>0.43263888888888891</v>
      </c>
      <c r="S97" s="11" t="str">
        <f t="shared" si="18"/>
        <v>Thursday</v>
      </c>
      <c r="T97" s="11" t="str">
        <f t="shared" si="12"/>
        <v>0 Days 21.8 Hrs</v>
      </c>
      <c r="U97" s="11"/>
      <c r="V97" s="11"/>
      <c r="W97" s="11"/>
      <c r="X97" s="12">
        <v>46247</v>
      </c>
      <c r="Y97" s="11" t="s">
        <v>241</v>
      </c>
      <c r="Z97" s="19" t="str">
        <f t="shared" si="19"/>
        <v>Thursday</v>
      </c>
      <c r="AA97" s="11">
        <f t="shared" si="13"/>
        <v>1</v>
      </c>
    </row>
    <row r="98" spans="1:27" ht="14.45" x14ac:dyDescent="0.3">
      <c r="A98" s="11">
        <v>96</v>
      </c>
      <c r="B98" s="11" t="s">
        <v>22</v>
      </c>
      <c r="C98" s="11">
        <v>110775</v>
      </c>
      <c r="D98" s="11" t="str">
        <f>VLOOKUP(B98,[1]Sheet1!$B$1028:$H$1180,7,0)</f>
        <v>R&amp;B</v>
      </c>
      <c r="E98" s="12">
        <v>46246</v>
      </c>
      <c r="F98" s="13">
        <v>0.37638888888888888</v>
      </c>
      <c r="G98" s="11" t="str">
        <f t="shared" si="14"/>
        <v>Wednesday</v>
      </c>
      <c r="H98" s="11"/>
      <c r="I98" s="15">
        <v>46246</v>
      </c>
      <c r="J98" s="13">
        <v>0.43055555555555558</v>
      </c>
      <c r="K98" s="11" t="str">
        <f t="shared" si="15"/>
        <v>Wednesday</v>
      </c>
      <c r="L98" s="11" t="str">
        <f t="shared" si="16"/>
        <v>0 Days 1.3 Hrs</v>
      </c>
      <c r="M98" s="12">
        <v>46246</v>
      </c>
      <c r="N98" s="13">
        <v>0.5229166666666667</v>
      </c>
      <c r="O98" s="11" t="str">
        <f t="shared" si="17"/>
        <v>Wednesday</v>
      </c>
      <c r="P98" s="11" t="str">
        <f t="shared" si="11"/>
        <v>0 Days 2.2 Hrs</v>
      </c>
      <c r="Q98" s="15">
        <v>46247</v>
      </c>
      <c r="R98" s="13">
        <v>0.43333333333333335</v>
      </c>
      <c r="S98" s="11" t="str">
        <f t="shared" si="18"/>
        <v>Thursday</v>
      </c>
      <c r="T98" s="11" t="str">
        <f t="shared" si="12"/>
        <v>0 Days 21.8 Hrs</v>
      </c>
      <c r="U98" s="11"/>
      <c r="V98" s="11"/>
      <c r="W98" s="11"/>
      <c r="X98" s="12">
        <v>46247</v>
      </c>
      <c r="Y98" s="11" t="s">
        <v>241</v>
      </c>
      <c r="Z98" s="19" t="str">
        <f t="shared" si="19"/>
        <v>Thursday</v>
      </c>
      <c r="AA98" s="11">
        <f t="shared" si="13"/>
        <v>1</v>
      </c>
    </row>
    <row r="99" spans="1:27" ht="14.45" x14ac:dyDescent="0.3">
      <c r="A99" s="11">
        <v>97</v>
      </c>
      <c r="B99" s="11" t="s">
        <v>23</v>
      </c>
      <c r="C99" s="11">
        <v>110751</v>
      </c>
      <c r="D99" s="11" t="str">
        <f>VLOOKUP(B99,[1]Sheet1!$B$1028:$H$1180,7,0)</f>
        <v>R&amp;B</v>
      </c>
      <c r="E99" s="12">
        <v>46246</v>
      </c>
      <c r="F99" s="13">
        <v>0.38194444444444442</v>
      </c>
      <c r="G99" s="11" t="str">
        <f t="shared" si="14"/>
        <v>Wednesday</v>
      </c>
      <c r="H99" s="11"/>
      <c r="I99" s="15">
        <v>46246</v>
      </c>
      <c r="J99" s="13">
        <v>0.44097222222222221</v>
      </c>
      <c r="K99" s="11" t="str">
        <f t="shared" si="15"/>
        <v>Wednesday</v>
      </c>
      <c r="L99" s="11" t="str">
        <f t="shared" si="16"/>
        <v>0 Days 1.4 Hrs</v>
      </c>
      <c r="M99" s="12">
        <v>46246</v>
      </c>
      <c r="N99" s="13">
        <v>0.51527777777777772</v>
      </c>
      <c r="O99" s="11" t="str">
        <f t="shared" si="17"/>
        <v>Wednesday</v>
      </c>
      <c r="P99" s="11" t="str">
        <f t="shared" si="11"/>
        <v>0 Days 1.8 Hrs</v>
      </c>
      <c r="Q99" s="15">
        <v>46247</v>
      </c>
      <c r="R99" s="13">
        <v>0.43402777777777779</v>
      </c>
      <c r="S99" s="11" t="str">
        <f t="shared" si="18"/>
        <v>Thursday</v>
      </c>
      <c r="T99" s="11" t="str">
        <f t="shared" si="12"/>
        <v>0 Days 22.1 Hrs</v>
      </c>
      <c r="U99" s="11"/>
      <c r="V99" s="11"/>
      <c r="W99" s="11"/>
      <c r="X99" s="12">
        <v>46247</v>
      </c>
      <c r="Y99" s="11" t="s">
        <v>241</v>
      </c>
      <c r="Z99" s="19" t="str">
        <f t="shared" si="19"/>
        <v>Thursday</v>
      </c>
      <c r="AA99" s="11">
        <f t="shared" ref="AA99:AA122" si="20">X99-E99</f>
        <v>1</v>
      </c>
    </row>
    <row r="100" spans="1:27" ht="14.45" x14ac:dyDescent="0.3">
      <c r="A100" s="11">
        <v>98</v>
      </c>
      <c r="B100" s="11" t="s">
        <v>24</v>
      </c>
      <c r="C100" s="11">
        <v>110752</v>
      </c>
      <c r="D100" s="11" t="str">
        <f>VLOOKUP(B100,[1]Sheet1!$B$1028:$H$1180,7,0)</f>
        <v>DP</v>
      </c>
      <c r="E100" s="12">
        <v>46246</v>
      </c>
      <c r="F100" s="13">
        <v>0.37986111111111109</v>
      </c>
      <c r="G100" s="11" t="str">
        <f t="shared" si="14"/>
        <v>Wednesday</v>
      </c>
      <c r="H100" s="16">
        <v>46247.515972222223</v>
      </c>
      <c r="I100" s="15">
        <v>46247</v>
      </c>
      <c r="J100" s="13">
        <v>0.6166666666666667</v>
      </c>
      <c r="K100" s="11" t="str">
        <f t="shared" si="15"/>
        <v>Thursday</v>
      </c>
      <c r="L100" s="11" t="str">
        <f t="shared" si="16"/>
        <v>1 Days 5.7 Hrs</v>
      </c>
      <c r="M100" s="12">
        <v>46247</v>
      </c>
      <c r="N100" s="13">
        <v>0.70763888888888893</v>
      </c>
      <c r="O100" s="11" t="str">
        <f t="shared" si="17"/>
        <v>Thursday</v>
      </c>
      <c r="P100" s="11" t="str">
        <f t="shared" si="11"/>
        <v>0 Days 2.2 Hrs</v>
      </c>
      <c r="Q100" s="15">
        <v>46247</v>
      </c>
      <c r="R100" s="13">
        <v>0.72499999999999998</v>
      </c>
      <c r="S100" s="11" t="str">
        <f t="shared" si="18"/>
        <v>Thursday</v>
      </c>
      <c r="T100" s="11" t="str">
        <f t="shared" si="12"/>
        <v>0 Days 0.4 Hrs</v>
      </c>
      <c r="U100" s="11"/>
      <c r="V100" s="11"/>
      <c r="W100" s="11"/>
      <c r="X100" s="12">
        <v>46249</v>
      </c>
      <c r="Y100" s="11" t="s">
        <v>241</v>
      </c>
      <c r="Z100" s="19" t="str">
        <f t="shared" si="19"/>
        <v>Saturday</v>
      </c>
      <c r="AA100" s="11">
        <f t="shared" si="20"/>
        <v>3</v>
      </c>
    </row>
    <row r="101" spans="1:27" ht="14.45" x14ac:dyDescent="0.3">
      <c r="A101" s="11">
        <v>99</v>
      </c>
      <c r="B101" s="11" t="s">
        <v>25</v>
      </c>
      <c r="C101" s="11">
        <v>110824</v>
      </c>
      <c r="D101" s="11" t="str">
        <f>VLOOKUP(B101,[1]Sheet1!$B$1028:$H$1180,7,0)</f>
        <v>B&amp;M</v>
      </c>
      <c r="E101" s="12">
        <v>46246</v>
      </c>
      <c r="F101" s="13">
        <v>0.69305555555555554</v>
      </c>
      <c r="G101" s="11" t="str">
        <f t="shared" si="14"/>
        <v>Wednesday</v>
      </c>
      <c r="H101" s="11" t="s">
        <v>131</v>
      </c>
      <c r="I101" s="15">
        <v>46246</v>
      </c>
      <c r="J101" s="13">
        <v>0.75972222222222219</v>
      </c>
      <c r="K101" s="11" t="str">
        <f t="shared" si="15"/>
        <v>Wednesday</v>
      </c>
      <c r="L101" s="11" t="str">
        <f t="shared" si="16"/>
        <v>0 Days 1.6 Hrs</v>
      </c>
      <c r="M101" s="12">
        <v>46247</v>
      </c>
      <c r="N101" s="13">
        <v>0.39305555555555555</v>
      </c>
      <c r="O101" s="11" t="str">
        <f t="shared" si="17"/>
        <v>Thursday</v>
      </c>
      <c r="P101" s="11" t="str">
        <f t="shared" si="11"/>
        <v>0 Days 15.2 Hrs</v>
      </c>
      <c r="Q101" s="15">
        <v>46250</v>
      </c>
      <c r="R101" s="13">
        <v>0.35486111111111113</v>
      </c>
      <c r="S101" s="11" t="str">
        <f t="shared" si="18"/>
        <v>Sunday</v>
      </c>
      <c r="T101" s="11" t="str">
        <f t="shared" si="12"/>
        <v>2 Days 23.1 Hrs</v>
      </c>
      <c r="U101" s="11"/>
      <c r="V101" s="11"/>
      <c r="W101" s="11"/>
      <c r="X101" s="12">
        <v>46250</v>
      </c>
      <c r="Y101" s="11" t="s">
        <v>241</v>
      </c>
      <c r="Z101" s="19" t="str">
        <f t="shared" si="19"/>
        <v>Sunday</v>
      </c>
      <c r="AA101" s="11">
        <f t="shared" si="20"/>
        <v>4</v>
      </c>
    </row>
    <row r="102" spans="1:27" ht="14.45" x14ac:dyDescent="0.3">
      <c r="A102" s="11">
        <v>100</v>
      </c>
      <c r="B102" s="11" t="s">
        <v>26</v>
      </c>
      <c r="C102" s="11">
        <v>110860</v>
      </c>
      <c r="D102" s="11" t="str">
        <f>VLOOKUP(B102,[1]Sheet1!$B$1028:$H$1180,7,0)</f>
        <v>Mix</v>
      </c>
      <c r="E102" s="12">
        <v>46247</v>
      </c>
      <c r="F102" s="13">
        <v>0.37083333333333335</v>
      </c>
      <c r="G102" s="11" t="str">
        <f t="shared" si="14"/>
        <v>Thursday</v>
      </c>
      <c r="H102" s="11"/>
      <c r="I102" s="15">
        <v>46247</v>
      </c>
      <c r="J102" s="13">
        <v>0.39305555555555555</v>
      </c>
      <c r="K102" s="11" t="str">
        <f t="shared" si="15"/>
        <v>Thursday</v>
      </c>
      <c r="L102" s="11" t="str">
        <f t="shared" si="16"/>
        <v>0 Days 0.5 Hrs</v>
      </c>
      <c r="M102" s="12">
        <v>46247</v>
      </c>
      <c r="N102" s="13">
        <v>0.49236111111111114</v>
      </c>
      <c r="O102" s="11" t="str">
        <f t="shared" si="17"/>
        <v>Thursday</v>
      </c>
      <c r="P102" s="11" t="str">
        <f t="shared" si="11"/>
        <v>0 Days 2.4 Hrs</v>
      </c>
      <c r="Q102" s="15">
        <v>46247</v>
      </c>
      <c r="R102" s="13">
        <v>0.50208333333333333</v>
      </c>
      <c r="S102" s="11" t="str">
        <f t="shared" si="18"/>
        <v>Thursday</v>
      </c>
      <c r="T102" s="11" t="str">
        <f t="shared" si="12"/>
        <v>0 Days 0.2 Hrs</v>
      </c>
      <c r="U102" s="11"/>
      <c r="V102" s="11"/>
      <c r="W102" s="11"/>
      <c r="X102" s="12">
        <v>46247</v>
      </c>
      <c r="Y102" s="11" t="s">
        <v>174</v>
      </c>
      <c r="Z102" s="19" t="str">
        <f t="shared" si="19"/>
        <v>Thursday</v>
      </c>
      <c r="AA102" s="11">
        <f t="shared" si="20"/>
        <v>0</v>
      </c>
    </row>
    <row r="103" spans="1:27" ht="14.45" x14ac:dyDescent="0.3">
      <c r="A103" s="11">
        <v>101</v>
      </c>
      <c r="B103" s="11" t="s">
        <v>27</v>
      </c>
      <c r="C103" s="11">
        <v>110861</v>
      </c>
      <c r="D103" s="11" t="str">
        <f>VLOOKUP(B103,[1]Sheet1!$B$1028:$H$1180,7,0)</f>
        <v>Mix</v>
      </c>
      <c r="E103" s="12">
        <v>46247</v>
      </c>
      <c r="F103" s="13">
        <v>0.37291666666666667</v>
      </c>
      <c r="G103" s="11" t="str">
        <f t="shared" si="14"/>
        <v>Thursday</v>
      </c>
      <c r="H103" s="11"/>
      <c r="I103" s="15">
        <v>46247</v>
      </c>
      <c r="J103" s="13">
        <v>0.40625</v>
      </c>
      <c r="K103" s="11" t="str">
        <f t="shared" si="15"/>
        <v>Thursday</v>
      </c>
      <c r="L103" s="11" t="str">
        <f t="shared" si="16"/>
        <v>0 Days 0.8 Hrs</v>
      </c>
      <c r="M103" s="12">
        <v>46247</v>
      </c>
      <c r="N103" s="13">
        <v>0.47638888888888886</v>
      </c>
      <c r="O103" s="11" t="str">
        <f t="shared" si="17"/>
        <v>Thursday</v>
      </c>
      <c r="P103" s="11" t="str">
        <f t="shared" si="11"/>
        <v>0 Days 1.7 Hrs</v>
      </c>
      <c r="Q103" s="15">
        <v>46247</v>
      </c>
      <c r="R103" s="13">
        <v>0.50347222222222221</v>
      </c>
      <c r="S103" s="11" t="str">
        <f t="shared" si="18"/>
        <v>Thursday</v>
      </c>
      <c r="T103" s="11" t="str">
        <f t="shared" si="12"/>
        <v>0 Days 0.6 Hrs</v>
      </c>
      <c r="U103" s="11"/>
      <c r="V103" s="11"/>
      <c r="W103" s="11"/>
      <c r="X103" s="12">
        <v>46247</v>
      </c>
      <c r="Y103" s="11" t="s">
        <v>174</v>
      </c>
      <c r="Z103" s="19" t="str">
        <f t="shared" si="19"/>
        <v>Thursday</v>
      </c>
      <c r="AA103" s="11">
        <f t="shared" si="20"/>
        <v>0</v>
      </c>
    </row>
    <row r="104" spans="1:27" ht="14.45" x14ac:dyDescent="0.3">
      <c r="A104" s="11">
        <v>102</v>
      </c>
      <c r="B104" s="11" t="s">
        <v>28</v>
      </c>
      <c r="C104" s="11">
        <v>110863</v>
      </c>
      <c r="D104" s="11" t="str">
        <f>VLOOKUP(B104,[1]Sheet1!$B$1028:$H$1180,7,0)</f>
        <v>R&amp;B</v>
      </c>
      <c r="E104" s="12">
        <v>46247</v>
      </c>
      <c r="F104" s="13">
        <v>0.37638888888888888</v>
      </c>
      <c r="G104" s="11" t="str">
        <f t="shared" si="14"/>
        <v>Thursday</v>
      </c>
      <c r="H104" s="11"/>
      <c r="I104" s="15">
        <v>46247</v>
      </c>
      <c r="J104" s="13">
        <v>0.42222222222222222</v>
      </c>
      <c r="K104" s="11" t="str">
        <f t="shared" si="15"/>
        <v>Thursday</v>
      </c>
      <c r="L104" s="11" t="str">
        <f t="shared" si="16"/>
        <v>0 Days 1.1 Hrs</v>
      </c>
      <c r="M104" s="12">
        <v>46247</v>
      </c>
      <c r="N104" s="13">
        <v>0.53125</v>
      </c>
      <c r="O104" s="11" t="str">
        <f t="shared" si="17"/>
        <v>Thursday</v>
      </c>
      <c r="P104" s="11" t="str">
        <f t="shared" si="11"/>
        <v>0 Days 2.6 Hrs</v>
      </c>
      <c r="Q104" s="15">
        <v>46247</v>
      </c>
      <c r="R104" s="13">
        <v>0.53402777777777777</v>
      </c>
      <c r="S104" s="11" t="str">
        <f t="shared" si="18"/>
        <v>Thursday</v>
      </c>
      <c r="T104" s="11" t="str">
        <f t="shared" si="12"/>
        <v>0 Days 0.1 Hrs</v>
      </c>
      <c r="U104" s="11"/>
      <c r="V104" s="11"/>
      <c r="W104" s="11"/>
      <c r="X104" s="12">
        <v>46247</v>
      </c>
      <c r="Y104" s="11" t="s">
        <v>241</v>
      </c>
      <c r="Z104" s="19" t="str">
        <f t="shared" si="19"/>
        <v>Thursday</v>
      </c>
      <c r="AA104" s="11">
        <f t="shared" si="20"/>
        <v>0</v>
      </c>
    </row>
    <row r="105" spans="1:27" ht="14.45" x14ac:dyDescent="0.3">
      <c r="A105" s="11">
        <v>103</v>
      </c>
      <c r="B105" s="11" t="s">
        <v>29</v>
      </c>
      <c r="C105" s="11">
        <v>110874</v>
      </c>
      <c r="D105" s="11" t="str">
        <f>VLOOKUP(B105,[1]Sheet1!$B$1028:$H$1180,7,0)</f>
        <v>OFP</v>
      </c>
      <c r="E105" s="12">
        <v>46247</v>
      </c>
      <c r="F105" s="13">
        <v>0.41319444444444442</v>
      </c>
      <c r="G105" s="11" t="str">
        <f t="shared" si="14"/>
        <v>Thursday</v>
      </c>
      <c r="H105" s="11"/>
      <c r="I105" s="15">
        <v>46247</v>
      </c>
      <c r="J105" s="13">
        <v>0.43402777777777779</v>
      </c>
      <c r="K105" s="11" t="str">
        <f t="shared" si="15"/>
        <v>Thursday</v>
      </c>
      <c r="L105" s="17" t="str">
        <f>INT((I105+J105)-(E105+F105))&amp;" Days "&amp;TEXT((I105+J105)-(E105+F105),"h ""Hrs"" m ""Mins""")</f>
        <v>0 Days 0 Hrs 30 Mins</v>
      </c>
      <c r="M105" s="12">
        <v>46247</v>
      </c>
      <c r="N105" s="13">
        <v>0.53194444444444444</v>
      </c>
      <c r="O105" s="11" t="str">
        <f t="shared" si="17"/>
        <v>Thursday</v>
      </c>
      <c r="P105" s="11" t="str">
        <f t="shared" si="11"/>
        <v>0 Days 2.3 Hrs</v>
      </c>
      <c r="Q105" s="15">
        <v>46249</v>
      </c>
      <c r="R105" s="13">
        <v>0.39444444444444443</v>
      </c>
      <c r="S105" s="11" t="str">
        <f t="shared" si="18"/>
        <v>Saturday</v>
      </c>
      <c r="T105" s="11" t="str">
        <f t="shared" si="12"/>
        <v>1 Days 20.7 Hrs</v>
      </c>
      <c r="U105" s="11"/>
      <c r="V105" s="11"/>
      <c r="W105" s="11"/>
      <c r="X105" s="12">
        <v>46249</v>
      </c>
      <c r="Y105" s="11" t="s">
        <v>241</v>
      </c>
      <c r="Z105" s="19" t="str">
        <f t="shared" si="19"/>
        <v>Saturday</v>
      </c>
      <c r="AA105" s="11">
        <f t="shared" si="20"/>
        <v>2</v>
      </c>
    </row>
    <row r="106" spans="1:27" ht="14.45" x14ac:dyDescent="0.3">
      <c r="A106" s="11">
        <v>104</v>
      </c>
      <c r="B106" s="11" t="s">
        <v>30</v>
      </c>
      <c r="C106" s="11">
        <v>110864</v>
      </c>
      <c r="D106" s="11" t="str">
        <f>VLOOKUP(B106,[1]Sheet1!$B$1028:$H$1180,7,0)</f>
        <v>BBZ</v>
      </c>
      <c r="E106" s="12">
        <v>46247</v>
      </c>
      <c r="F106" s="13">
        <v>0.38263888888888886</v>
      </c>
      <c r="G106" s="11" t="str">
        <f t="shared" si="14"/>
        <v>Thursday</v>
      </c>
      <c r="H106" s="11"/>
      <c r="I106" s="15">
        <v>46247</v>
      </c>
      <c r="J106" s="13">
        <v>0.45694444444444443</v>
      </c>
      <c r="K106" s="11" t="str">
        <f t="shared" si="15"/>
        <v>Thursday</v>
      </c>
      <c r="L106" s="17" t="str">
        <f t="shared" ref="L106:L124" si="21">INT((I106+J106)-(E106+F106))&amp;" Days "&amp;TEXT((I106+J106)-(E106+F106),"h ""Hrs"" m ""Mins""")</f>
        <v>0 Days 1 Hrs 47 Mins</v>
      </c>
      <c r="M106" s="12">
        <v>46247</v>
      </c>
      <c r="N106" s="13">
        <v>0.50138888888888888</v>
      </c>
      <c r="O106" s="11" t="str">
        <f t="shared" si="17"/>
        <v>Thursday</v>
      </c>
      <c r="P106" s="11" t="str">
        <f t="shared" si="11"/>
        <v>0 Days 1.1 Hrs</v>
      </c>
      <c r="Q106" s="15">
        <v>46249</v>
      </c>
      <c r="R106" s="13">
        <v>0.39444444444444443</v>
      </c>
      <c r="S106" s="11" t="str">
        <f t="shared" si="18"/>
        <v>Saturday</v>
      </c>
      <c r="T106" s="11" t="str">
        <f t="shared" si="12"/>
        <v>1 Days 21.4 Hrs</v>
      </c>
      <c r="U106" s="11"/>
      <c r="V106" s="11"/>
      <c r="W106" s="11"/>
      <c r="X106" s="12">
        <v>46249</v>
      </c>
      <c r="Y106" s="11" t="s">
        <v>241</v>
      </c>
      <c r="Z106" s="19" t="str">
        <f t="shared" si="19"/>
        <v>Saturday</v>
      </c>
      <c r="AA106" s="11">
        <f t="shared" si="20"/>
        <v>2</v>
      </c>
    </row>
    <row r="107" spans="1:27" ht="14.45" x14ac:dyDescent="0.3">
      <c r="A107" s="11">
        <v>105</v>
      </c>
      <c r="B107" s="11" t="s">
        <v>31</v>
      </c>
      <c r="C107" s="11">
        <v>110866</v>
      </c>
      <c r="D107" s="11" t="str">
        <f>VLOOKUP(B107,[1]Sheet1!$B$1028:$H$1180,7,0)</f>
        <v>B&amp;M</v>
      </c>
      <c r="E107" s="12">
        <v>46247</v>
      </c>
      <c r="F107" s="13">
        <v>0.38611111111111113</v>
      </c>
      <c r="G107" s="11" t="str">
        <f t="shared" si="14"/>
        <v>Thursday</v>
      </c>
      <c r="H107" s="11" t="s">
        <v>131</v>
      </c>
      <c r="I107" s="15">
        <v>46247</v>
      </c>
      <c r="J107" s="13">
        <v>0.52777777777777779</v>
      </c>
      <c r="K107" s="11" t="str">
        <f t="shared" si="15"/>
        <v>Thursday</v>
      </c>
      <c r="L107" s="17" t="str">
        <f t="shared" si="21"/>
        <v>0 Days 3 Hrs 24 Mins</v>
      </c>
      <c r="M107" s="12">
        <v>46247</v>
      </c>
      <c r="N107" s="13">
        <v>0.6694444444444444</v>
      </c>
      <c r="O107" s="11" t="str">
        <f t="shared" si="17"/>
        <v>Thursday</v>
      </c>
      <c r="P107" s="11" t="str">
        <f t="shared" si="11"/>
        <v>0 Days 3.4 Hrs</v>
      </c>
      <c r="Q107" s="15">
        <v>46247</v>
      </c>
      <c r="R107" s="13">
        <v>0.85486111111111107</v>
      </c>
      <c r="S107" s="11" t="str">
        <f t="shared" si="18"/>
        <v>Thursday</v>
      </c>
      <c r="T107" s="11" t="str">
        <f t="shared" si="12"/>
        <v>0 Days 4.5 Hrs</v>
      </c>
      <c r="U107" s="11"/>
      <c r="V107" s="11"/>
      <c r="W107" s="11"/>
      <c r="X107" s="12">
        <v>46250</v>
      </c>
      <c r="Y107" s="11" t="s">
        <v>241</v>
      </c>
      <c r="Z107" s="19" t="str">
        <f t="shared" si="19"/>
        <v>Sunday</v>
      </c>
      <c r="AA107" s="11">
        <f t="shared" si="20"/>
        <v>3</v>
      </c>
    </row>
    <row r="108" spans="1:27" ht="14.45" x14ac:dyDescent="0.3">
      <c r="A108" s="11">
        <v>106</v>
      </c>
      <c r="B108" s="11" t="s">
        <v>32</v>
      </c>
      <c r="C108" s="11">
        <v>110868</v>
      </c>
      <c r="D108" s="11" t="str">
        <f>VLOOKUP(B108,[1]Sheet1!$B$1028:$H$1180,7,0)</f>
        <v>DP</v>
      </c>
      <c r="E108" s="12">
        <v>46247</v>
      </c>
      <c r="F108" s="13">
        <v>0.3972222222222222</v>
      </c>
      <c r="G108" s="11" t="str">
        <f t="shared" si="14"/>
        <v>Thursday</v>
      </c>
      <c r="H108" s="11" t="s">
        <v>131</v>
      </c>
      <c r="I108" s="15">
        <v>46247</v>
      </c>
      <c r="J108" s="13">
        <v>0.64444444444444449</v>
      </c>
      <c r="K108" s="11" t="str">
        <f t="shared" si="15"/>
        <v>Thursday</v>
      </c>
      <c r="L108" s="17" t="str">
        <f t="shared" si="21"/>
        <v>0 Days 5 Hrs 56 Mins</v>
      </c>
      <c r="M108" s="12">
        <v>46247</v>
      </c>
      <c r="N108" s="13">
        <v>0.79652777777777772</v>
      </c>
      <c r="O108" s="11" t="str">
        <f t="shared" si="17"/>
        <v>Thursday</v>
      </c>
      <c r="P108" s="11" t="str">
        <f t="shared" si="11"/>
        <v>0 Days 3.7 Hrs</v>
      </c>
      <c r="Q108" s="15">
        <v>46250</v>
      </c>
      <c r="R108" s="13">
        <v>0.36666666666666664</v>
      </c>
      <c r="S108" s="11" t="str">
        <f t="shared" si="18"/>
        <v>Sunday</v>
      </c>
      <c r="T108" s="11" t="str">
        <f t="shared" si="12"/>
        <v>2 Days 13.7 Hrs</v>
      </c>
      <c r="U108" s="11"/>
      <c r="V108" s="11"/>
      <c r="W108" s="11"/>
      <c r="X108" s="12">
        <v>46250</v>
      </c>
      <c r="Y108" s="11" t="s">
        <v>241</v>
      </c>
      <c r="Z108" s="19" t="str">
        <f t="shared" si="19"/>
        <v>Sunday</v>
      </c>
      <c r="AA108" s="11">
        <f t="shared" si="20"/>
        <v>3</v>
      </c>
    </row>
    <row r="109" spans="1:27" ht="14.45" x14ac:dyDescent="0.3">
      <c r="A109" s="11">
        <v>107</v>
      </c>
      <c r="B109" s="11" t="s">
        <v>33</v>
      </c>
      <c r="C109" s="11">
        <v>110897</v>
      </c>
      <c r="D109" s="11" t="str">
        <f>VLOOKUP(B109,[1]Sheet1!$B$1028:$H$1180,7,0)</f>
        <v>Mix</v>
      </c>
      <c r="E109" s="12">
        <v>46247</v>
      </c>
      <c r="F109" s="13">
        <v>0.69166666666666665</v>
      </c>
      <c r="G109" s="11" t="str">
        <f t="shared" si="14"/>
        <v>Thursday</v>
      </c>
      <c r="H109" s="11"/>
      <c r="I109" s="15">
        <v>46247</v>
      </c>
      <c r="J109" s="13">
        <v>0.73541666666666672</v>
      </c>
      <c r="K109" s="11" t="str">
        <f t="shared" si="15"/>
        <v>Thursday</v>
      </c>
      <c r="L109" s="17" t="str">
        <f t="shared" si="21"/>
        <v>0 Days 1 Hrs 3 Mins</v>
      </c>
      <c r="M109" s="12">
        <v>46249</v>
      </c>
      <c r="N109" s="13">
        <v>0.43333333333333335</v>
      </c>
      <c r="O109" s="11" t="str">
        <f t="shared" si="17"/>
        <v>Saturday</v>
      </c>
      <c r="P109" s="11" t="str">
        <f t="shared" si="11"/>
        <v>1 Days 16.7 Hrs</v>
      </c>
      <c r="Q109" s="15">
        <v>46249</v>
      </c>
      <c r="R109" s="13">
        <v>0.44097222222222221</v>
      </c>
      <c r="S109" s="11" t="str">
        <f t="shared" si="18"/>
        <v>Saturday</v>
      </c>
      <c r="T109" s="11" t="str">
        <f t="shared" si="12"/>
        <v>0 Days 0.2 Hrs</v>
      </c>
      <c r="U109" s="11"/>
      <c r="V109" s="11"/>
      <c r="W109" s="11"/>
      <c r="X109" s="12">
        <v>46249</v>
      </c>
      <c r="Y109" s="11" t="s">
        <v>174</v>
      </c>
      <c r="Z109" s="19" t="str">
        <f t="shared" si="19"/>
        <v>Saturday</v>
      </c>
      <c r="AA109" s="11">
        <f t="shared" si="20"/>
        <v>2</v>
      </c>
    </row>
    <row r="110" spans="1:27" ht="14.45" x14ac:dyDescent="0.3">
      <c r="A110" s="11">
        <v>108</v>
      </c>
      <c r="B110" s="11" t="s">
        <v>34</v>
      </c>
      <c r="C110" s="11">
        <v>110899</v>
      </c>
      <c r="D110" s="11" t="str">
        <f>VLOOKUP(B110,[1]Sheet1!$B$1028:$H$1180,7,0)</f>
        <v>R&amp;B</v>
      </c>
      <c r="E110" s="12">
        <v>46247</v>
      </c>
      <c r="F110" s="13">
        <v>0.69513888888888886</v>
      </c>
      <c r="G110" s="11" t="str">
        <f t="shared" si="14"/>
        <v>Thursday</v>
      </c>
      <c r="H110" s="11"/>
      <c r="I110" s="15">
        <v>46247</v>
      </c>
      <c r="J110" s="13">
        <v>0.74583333333333335</v>
      </c>
      <c r="K110" s="11" t="str">
        <f t="shared" si="15"/>
        <v>Thursday</v>
      </c>
      <c r="L110" s="17" t="str">
        <f t="shared" si="21"/>
        <v>0 Days 1 Hrs 13 Mins</v>
      </c>
      <c r="M110" s="12">
        <v>46249</v>
      </c>
      <c r="N110" s="13">
        <v>0.43958333333333333</v>
      </c>
      <c r="O110" s="11" t="str">
        <f t="shared" si="17"/>
        <v>Saturday</v>
      </c>
      <c r="P110" s="11" t="str">
        <f t="shared" si="11"/>
        <v>1 Days 16.6 Hrs</v>
      </c>
      <c r="Q110" s="15">
        <v>46249</v>
      </c>
      <c r="R110" s="13">
        <v>0.44166666666666665</v>
      </c>
      <c r="S110" s="11" t="str">
        <f t="shared" si="18"/>
        <v>Saturday</v>
      </c>
      <c r="T110" s="11" t="str">
        <f t="shared" si="12"/>
        <v>0 Days 0 Hrs</v>
      </c>
      <c r="U110" s="11"/>
      <c r="V110" s="11"/>
      <c r="W110" s="11"/>
      <c r="X110" s="12">
        <v>46249</v>
      </c>
      <c r="Y110" s="11" t="s">
        <v>241</v>
      </c>
      <c r="Z110" s="19" t="str">
        <f t="shared" si="19"/>
        <v>Saturday</v>
      </c>
      <c r="AA110" s="11">
        <f t="shared" si="20"/>
        <v>2</v>
      </c>
    </row>
    <row r="111" spans="1:27" ht="14.45" x14ac:dyDescent="0.3">
      <c r="A111" s="11">
        <v>109</v>
      </c>
      <c r="B111" s="11" t="s">
        <v>35</v>
      </c>
      <c r="C111" s="11">
        <v>110960</v>
      </c>
      <c r="D111" s="11" t="str">
        <f>VLOOKUP(B111,[1]Sheet1!$B$1028:$H$1180,7,0)</f>
        <v>R&amp;B</v>
      </c>
      <c r="E111" s="12">
        <v>46248</v>
      </c>
      <c r="F111" s="13">
        <v>0.71875</v>
      </c>
      <c r="G111" s="11" t="str">
        <f t="shared" si="14"/>
        <v>Friday</v>
      </c>
      <c r="H111" s="11"/>
      <c r="I111" s="15">
        <v>46248</v>
      </c>
      <c r="J111" s="13">
        <v>0.90277777777777779</v>
      </c>
      <c r="K111" s="11" t="str">
        <f t="shared" si="15"/>
        <v>Friday</v>
      </c>
      <c r="L111" s="17" t="str">
        <f t="shared" si="21"/>
        <v>0 Days 4 Hrs 25 Mins</v>
      </c>
      <c r="M111" s="12">
        <v>46249</v>
      </c>
      <c r="N111" s="13">
        <v>0.44722222222222224</v>
      </c>
      <c r="O111" s="11" t="str">
        <f t="shared" si="17"/>
        <v>Saturday</v>
      </c>
      <c r="P111" s="11" t="str">
        <f t="shared" si="11"/>
        <v>0 Days 13.1 Hrs</v>
      </c>
      <c r="Q111" s="15">
        <v>46249</v>
      </c>
      <c r="R111" s="13">
        <v>0.44930555555555557</v>
      </c>
      <c r="S111" s="11" t="str">
        <f t="shared" si="18"/>
        <v>Saturday</v>
      </c>
      <c r="T111" s="11" t="str">
        <f t="shared" si="12"/>
        <v>0 Days 0 Hrs</v>
      </c>
      <c r="U111" s="11"/>
      <c r="V111" s="11"/>
      <c r="W111" s="11"/>
      <c r="X111" s="12">
        <v>46249</v>
      </c>
      <c r="Y111" s="11" t="s">
        <v>241</v>
      </c>
      <c r="Z111" s="19" t="str">
        <f t="shared" si="19"/>
        <v>Saturday</v>
      </c>
      <c r="AA111" s="11">
        <f t="shared" si="20"/>
        <v>1</v>
      </c>
    </row>
    <row r="112" spans="1:27" ht="14.45" x14ac:dyDescent="0.3">
      <c r="A112" s="11">
        <v>110</v>
      </c>
      <c r="B112" s="11" t="s">
        <v>36</v>
      </c>
      <c r="C112" s="11">
        <v>110922</v>
      </c>
      <c r="D112" s="11" t="str">
        <f>VLOOKUP(B112,[1]Sheet1!$B$1028:$H$1180,7,0)</f>
        <v>Mix</v>
      </c>
      <c r="E112" s="12">
        <v>46248</v>
      </c>
      <c r="F112" s="13">
        <v>0.41875000000000001</v>
      </c>
      <c r="G112" s="11" t="str">
        <f t="shared" si="14"/>
        <v>Friday</v>
      </c>
      <c r="H112" s="11"/>
      <c r="I112" s="15">
        <v>46249</v>
      </c>
      <c r="J112" s="13">
        <v>7.2916666666666671E-2</v>
      </c>
      <c r="K112" s="11" t="str">
        <f t="shared" si="15"/>
        <v>Saturday</v>
      </c>
      <c r="L112" s="17" t="str">
        <f t="shared" si="21"/>
        <v>0 Days 15 Hrs 42 Mins</v>
      </c>
      <c r="M112" s="12">
        <v>46249</v>
      </c>
      <c r="N112" s="13">
        <v>0.42569444444444443</v>
      </c>
      <c r="O112" s="11" t="str">
        <f t="shared" si="17"/>
        <v>Saturday</v>
      </c>
      <c r="P112" s="11" t="str">
        <f t="shared" si="11"/>
        <v>0 Days 8.5 Hrs</v>
      </c>
      <c r="Q112" s="15">
        <v>46249</v>
      </c>
      <c r="R112" s="13">
        <v>0.44097222222222221</v>
      </c>
      <c r="S112" s="11" t="str">
        <f t="shared" si="18"/>
        <v>Saturday</v>
      </c>
      <c r="T112" s="11" t="str">
        <f t="shared" si="12"/>
        <v>0 Days 0.4 Hrs</v>
      </c>
      <c r="U112" s="11"/>
      <c r="V112" s="11"/>
      <c r="W112" s="11"/>
      <c r="X112" s="12">
        <v>46249</v>
      </c>
      <c r="Y112" s="11" t="s">
        <v>174</v>
      </c>
      <c r="Z112" s="19" t="str">
        <f t="shared" si="19"/>
        <v>Saturday</v>
      </c>
      <c r="AA112" s="11">
        <f t="shared" si="20"/>
        <v>1</v>
      </c>
    </row>
    <row r="113" spans="1:28" ht="14.45" x14ac:dyDescent="0.3">
      <c r="A113" s="11">
        <v>111</v>
      </c>
      <c r="B113" s="11" t="s">
        <v>37</v>
      </c>
      <c r="C113" s="11">
        <v>111017</v>
      </c>
      <c r="D113" s="11" t="str">
        <f>VLOOKUP(B113,[1]Sheet1!$B$1028:$H$1180,7,0)</f>
        <v>SM</v>
      </c>
      <c r="E113" s="12">
        <v>46249</v>
      </c>
      <c r="F113" s="13">
        <v>0.72986111111111107</v>
      </c>
      <c r="G113" s="11" t="str">
        <f t="shared" si="14"/>
        <v>Saturday</v>
      </c>
      <c r="H113" s="11"/>
      <c r="I113" s="15">
        <v>46249</v>
      </c>
      <c r="J113" s="13">
        <v>0.82708333333333328</v>
      </c>
      <c r="K113" s="11" t="str">
        <f t="shared" si="15"/>
        <v>Saturday</v>
      </c>
      <c r="L113" s="17" t="str">
        <f t="shared" si="21"/>
        <v>0 Days 2 Hrs 20 Mins</v>
      </c>
      <c r="M113" s="12">
        <v>46250</v>
      </c>
      <c r="N113" s="13">
        <v>0.41944444444444445</v>
      </c>
      <c r="O113" s="11" t="str">
        <f t="shared" si="17"/>
        <v>Sunday</v>
      </c>
      <c r="P113" s="11" t="str">
        <f t="shared" si="11"/>
        <v>0 Days 14.2 Hrs</v>
      </c>
      <c r="Q113" s="15">
        <v>46250</v>
      </c>
      <c r="R113" s="13">
        <v>0.4236111111111111</v>
      </c>
      <c r="S113" s="11" t="str">
        <f t="shared" si="18"/>
        <v>Sunday</v>
      </c>
      <c r="T113" s="11" t="str">
        <f t="shared" si="12"/>
        <v>0 Days 0.1 Hrs</v>
      </c>
      <c r="U113" s="11"/>
      <c r="V113" s="11"/>
      <c r="W113" s="11"/>
      <c r="X113" s="12">
        <v>46250</v>
      </c>
      <c r="Y113" s="11" t="s">
        <v>241</v>
      </c>
      <c r="Z113" s="19" t="str">
        <f t="shared" si="19"/>
        <v>Sunday</v>
      </c>
      <c r="AA113" s="11">
        <f t="shared" si="20"/>
        <v>1</v>
      </c>
    </row>
    <row r="114" spans="1:28" ht="14.45" x14ac:dyDescent="0.3">
      <c r="A114" s="11">
        <v>112</v>
      </c>
      <c r="B114" s="11" t="s">
        <v>38</v>
      </c>
      <c r="C114" s="11">
        <v>111013</v>
      </c>
      <c r="D114" s="11" t="str">
        <f>VLOOKUP(B114,[1]Sheet1!$B$1028:$H$1180,7,0)</f>
        <v>R&amp;B</v>
      </c>
      <c r="E114" s="12">
        <v>46249</v>
      </c>
      <c r="F114" s="13">
        <v>0.71527777777777779</v>
      </c>
      <c r="G114" s="11" t="str">
        <f t="shared" si="14"/>
        <v>Saturday</v>
      </c>
      <c r="H114" s="11"/>
      <c r="I114" s="15">
        <v>46249</v>
      </c>
      <c r="J114" s="13">
        <v>0.92152777777777772</v>
      </c>
      <c r="K114" s="11" t="str">
        <f t="shared" si="15"/>
        <v>Saturday</v>
      </c>
      <c r="L114" s="17" t="str">
        <f t="shared" si="21"/>
        <v>0 Days 4 Hrs 57 Mins</v>
      </c>
      <c r="M114" s="12">
        <v>46250</v>
      </c>
      <c r="N114" s="13">
        <v>0.46875</v>
      </c>
      <c r="O114" s="11" t="str">
        <f t="shared" si="17"/>
        <v>Sunday</v>
      </c>
      <c r="P114" s="11" t="str">
        <f t="shared" si="11"/>
        <v>0 Days 13.1 Hrs</v>
      </c>
      <c r="Q114" s="15">
        <v>46250</v>
      </c>
      <c r="R114" s="13">
        <v>0.47083333333333333</v>
      </c>
      <c r="S114" s="11" t="str">
        <f t="shared" si="18"/>
        <v>Sunday</v>
      </c>
      <c r="T114" s="11" t="str">
        <f t="shared" si="12"/>
        <v>0 Days 0 Hrs</v>
      </c>
      <c r="U114" s="11"/>
      <c r="V114" s="11"/>
      <c r="W114" s="11"/>
      <c r="X114" s="12">
        <v>46250</v>
      </c>
      <c r="Y114" s="11" t="s">
        <v>241</v>
      </c>
      <c r="Z114" s="19" t="str">
        <f t="shared" si="19"/>
        <v>Sunday</v>
      </c>
      <c r="AA114" s="11">
        <f t="shared" si="20"/>
        <v>1</v>
      </c>
    </row>
    <row r="115" spans="1:28" ht="14.45" x14ac:dyDescent="0.3">
      <c r="A115" s="11">
        <v>113</v>
      </c>
      <c r="B115" s="11" t="s">
        <v>39</v>
      </c>
      <c r="C115" s="11">
        <v>111010</v>
      </c>
      <c r="D115" s="11" t="str">
        <f>VLOOKUP(B115,[1]Sheet1!$B$1028:$H$1180,7,0)</f>
        <v>Mix</v>
      </c>
      <c r="E115" s="12">
        <v>46249</v>
      </c>
      <c r="F115" s="13">
        <v>0.70138888888888884</v>
      </c>
      <c r="G115" s="11" t="str">
        <f t="shared" si="14"/>
        <v>Saturday</v>
      </c>
      <c r="H115" s="11"/>
      <c r="I115" s="15">
        <v>46249</v>
      </c>
      <c r="J115" s="13">
        <v>0.8618055555555556</v>
      </c>
      <c r="K115" s="11" t="str">
        <f t="shared" si="15"/>
        <v>Saturday</v>
      </c>
      <c r="L115" s="17" t="str">
        <f t="shared" si="21"/>
        <v>0 Days 3 Hrs 51 Mins</v>
      </c>
      <c r="M115" s="12">
        <v>46250</v>
      </c>
      <c r="N115" s="13">
        <v>0.4548611111111111</v>
      </c>
      <c r="O115" s="11" t="str">
        <f t="shared" si="17"/>
        <v>Sunday</v>
      </c>
      <c r="P115" s="11" t="str">
        <f t="shared" si="11"/>
        <v>0 Days 14.2 Hrs</v>
      </c>
      <c r="Q115" s="15">
        <v>46250</v>
      </c>
      <c r="R115" s="13">
        <v>0.45833333333333331</v>
      </c>
      <c r="S115" s="11" t="str">
        <f t="shared" si="18"/>
        <v>Sunday</v>
      </c>
      <c r="T115" s="11" t="str">
        <f t="shared" si="12"/>
        <v>0 Days 0.1 Hrs</v>
      </c>
      <c r="U115" s="11"/>
      <c r="V115" s="11"/>
      <c r="W115" s="11"/>
      <c r="X115" s="12">
        <v>46250</v>
      </c>
      <c r="Y115" s="11" t="s">
        <v>174</v>
      </c>
      <c r="Z115" s="19" t="str">
        <f t="shared" si="19"/>
        <v>Sunday</v>
      </c>
      <c r="AA115" s="11">
        <f t="shared" si="20"/>
        <v>1</v>
      </c>
    </row>
    <row r="116" spans="1:28" ht="14.45" x14ac:dyDescent="0.3">
      <c r="A116" s="11">
        <v>114</v>
      </c>
      <c r="B116" s="11" t="s">
        <v>40</v>
      </c>
      <c r="C116" s="11">
        <v>111011</v>
      </c>
      <c r="D116" s="11" t="str">
        <f>VLOOKUP(B116,[1]Sheet1!$B$1028:$H$1180,7,0)</f>
        <v>LCW</v>
      </c>
      <c r="E116" s="12">
        <v>46249</v>
      </c>
      <c r="F116" s="13">
        <v>0.70763888888888893</v>
      </c>
      <c r="G116" s="11" t="str">
        <f t="shared" si="14"/>
        <v>Saturday</v>
      </c>
      <c r="H116" s="11"/>
      <c r="I116" s="15">
        <v>46250</v>
      </c>
      <c r="J116" s="13">
        <v>0.36527777777777776</v>
      </c>
      <c r="K116" s="11" t="str">
        <f t="shared" si="15"/>
        <v>Sunday</v>
      </c>
      <c r="L116" s="17" t="str">
        <f t="shared" si="21"/>
        <v>0 Days 15 Hrs 47 Mins</v>
      </c>
      <c r="M116" s="12">
        <v>46250</v>
      </c>
      <c r="N116" s="13">
        <v>0.52638888888888891</v>
      </c>
      <c r="O116" s="11" t="s">
        <v>142</v>
      </c>
      <c r="P116" s="11" t="str">
        <f t="shared" si="11"/>
        <v>0 Days 3.9 Hrs</v>
      </c>
      <c r="Q116" s="15">
        <v>46250</v>
      </c>
      <c r="R116" s="13">
        <v>0.52916666666666667</v>
      </c>
      <c r="S116" s="11" t="str">
        <f t="shared" si="18"/>
        <v>Sunday</v>
      </c>
      <c r="T116" s="11" t="str">
        <f t="shared" si="12"/>
        <v>0 Days 0.1 Hrs</v>
      </c>
      <c r="U116" s="11"/>
      <c r="V116" s="11"/>
      <c r="W116" s="11"/>
      <c r="X116" s="12">
        <v>46250</v>
      </c>
      <c r="Y116" s="11" t="s">
        <v>241</v>
      </c>
      <c r="Z116" s="19" t="str">
        <f t="shared" si="19"/>
        <v>Sunday</v>
      </c>
      <c r="AA116" s="11">
        <f t="shared" si="20"/>
        <v>1</v>
      </c>
    </row>
    <row r="117" spans="1:28" ht="14.45" x14ac:dyDescent="0.3">
      <c r="A117" s="11">
        <v>115</v>
      </c>
      <c r="B117" s="11" t="s">
        <v>41</v>
      </c>
      <c r="C117" s="11">
        <v>111012</v>
      </c>
      <c r="D117" s="11" t="str">
        <f>VLOOKUP(B117,[1]Sheet1!$B$1028:$H$1180,7,0)</f>
        <v>Mix</v>
      </c>
      <c r="E117" s="12">
        <v>46249</v>
      </c>
      <c r="F117" s="13">
        <v>0.71250000000000002</v>
      </c>
      <c r="G117" s="11" t="str">
        <f t="shared" si="14"/>
        <v>Saturday</v>
      </c>
      <c r="H117" s="11"/>
      <c r="I117" s="12">
        <v>46249</v>
      </c>
      <c r="J117" s="13">
        <v>0.93541666666666667</v>
      </c>
      <c r="K117" s="11" t="str">
        <f t="shared" si="15"/>
        <v>Saturday</v>
      </c>
      <c r="L117" s="17" t="str">
        <f t="shared" si="21"/>
        <v>0 Days 5 Hrs 21 Mins</v>
      </c>
      <c r="M117" s="12">
        <v>46250</v>
      </c>
      <c r="N117" s="13">
        <v>0.48888888888888887</v>
      </c>
      <c r="O117" s="11" t="s">
        <v>142</v>
      </c>
      <c r="P117" s="11" t="str">
        <f t="shared" si="11"/>
        <v>0 Days 13.3 Hrs</v>
      </c>
      <c r="Q117" s="15">
        <v>46250</v>
      </c>
      <c r="R117" s="13">
        <v>0.49027777777777776</v>
      </c>
      <c r="S117" s="11" t="str">
        <f t="shared" si="18"/>
        <v>Sunday</v>
      </c>
      <c r="T117" s="11" t="str">
        <f t="shared" si="12"/>
        <v>0 Days 0 Hrs</v>
      </c>
      <c r="U117" s="11"/>
      <c r="V117" s="11"/>
      <c r="W117" s="11"/>
      <c r="X117" s="12">
        <v>46250</v>
      </c>
      <c r="Y117" s="11" t="s">
        <v>174</v>
      </c>
      <c r="Z117" s="19" t="str">
        <f t="shared" si="19"/>
        <v>Sunday</v>
      </c>
      <c r="AA117" s="11">
        <f t="shared" si="20"/>
        <v>1</v>
      </c>
    </row>
    <row r="118" spans="1:28" ht="14.45" x14ac:dyDescent="0.3">
      <c r="A118" s="11">
        <v>116</v>
      </c>
      <c r="B118" s="11" t="s">
        <v>42</v>
      </c>
      <c r="C118" s="11">
        <v>111014</v>
      </c>
      <c r="D118" s="11" t="str">
        <f>VLOOKUP(B118,[1]Sheet1!$B$1028:$H$1180,7,0)</f>
        <v>OFP</v>
      </c>
      <c r="E118" s="12">
        <v>46249</v>
      </c>
      <c r="F118" s="13">
        <v>0.71944444444444444</v>
      </c>
      <c r="G118" s="11" t="str">
        <f t="shared" si="14"/>
        <v>Saturday</v>
      </c>
      <c r="H118" s="11"/>
      <c r="I118" s="12">
        <v>46250</v>
      </c>
      <c r="J118" s="13">
        <v>0.4465277777777778</v>
      </c>
      <c r="K118" s="11" t="str">
        <f t="shared" si="15"/>
        <v>Sunday</v>
      </c>
      <c r="L118" s="17" t="str">
        <f t="shared" si="21"/>
        <v>0 Days 17 Hrs 27 Mins</v>
      </c>
      <c r="M118" s="12">
        <v>46250</v>
      </c>
      <c r="N118" s="13">
        <v>0.49513888888888891</v>
      </c>
      <c r="O118" s="11" t="s">
        <v>142</v>
      </c>
      <c r="P118" s="11" t="str">
        <f t="shared" si="11"/>
        <v>0 Days 1.2 Hrs</v>
      </c>
      <c r="Q118" s="15">
        <v>46250</v>
      </c>
      <c r="R118" s="13">
        <v>0.50138888888888888</v>
      </c>
      <c r="S118" s="11" t="str">
        <f t="shared" si="18"/>
        <v>Sunday</v>
      </c>
      <c r="T118" s="11" t="str">
        <f t="shared" si="12"/>
        <v>0 Days 0.1 Hrs</v>
      </c>
      <c r="U118" s="11"/>
      <c r="V118" s="11"/>
      <c r="W118" s="11"/>
      <c r="X118" s="12">
        <v>46250</v>
      </c>
      <c r="Y118" s="11" t="s">
        <v>241</v>
      </c>
      <c r="Z118" s="19" t="str">
        <f t="shared" si="19"/>
        <v>Sunday</v>
      </c>
      <c r="AA118" s="11">
        <f t="shared" si="20"/>
        <v>1</v>
      </c>
    </row>
    <row r="119" spans="1:28" ht="14.45" x14ac:dyDescent="0.3">
      <c r="A119" s="11">
        <v>117</v>
      </c>
      <c r="B119" s="11" t="s">
        <v>43</v>
      </c>
      <c r="C119" s="11">
        <v>111034</v>
      </c>
      <c r="D119" s="11" t="str">
        <f>VLOOKUP(B119,[1]Sheet1!$B$1028:$H$1180,7,0)</f>
        <v>Mix</v>
      </c>
      <c r="E119" s="12">
        <v>46250</v>
      </c>
      <c r="F119" s="13">
        <v>0.34305555555555556</v>
      </c>
      <c r="G119" s="11" t="str">
        <f t="shared" si="14"/>
        <v>Sunday</v>
      </c>
      <c r="H119" s="11"/>
      <c r="I119" s="12">
        <v>46250</v>
      </c>
      <c r="J119" s="13">
        <v>0.39791666666666664</v>
      </c>
      <c r="K119" s="11" t="str">
        <f t="shared" si="15"/>
        <v>Sunday</v>
      </c>
      <c r="L119" s="17" t="str">
        <f t="shared" si="21"/>
        <v>0 Days 1 Hrs 19 Mins</v>
      </c>
      <c r="M119" s="12">
        <v>46250</v>
      </c>
      <c r="N119" s="13">
        <v>0.59930555555555554</v>
      </c>
      <c r="O119" s="11" t="s">
        <v>142</v>
      </c>
      <c r="P119" s="11" t="str">
        <f t="shared" si="11"/>
        <v>0 Days 4.8 Hrs</v>
      </c>
      <c r="Q119" s="15">
        <v>46250</v>
      </c>
      <c r="R119" s="13">
        <v>0.6</v>
      </c>
      <c r="S119" s="11" t="str">
        <f t="shared" si="18"/>
        <v>Sunday</v>
      </c>
      <c r="T119" s="11" t="str">
        <f t="shared" si="12"/>
        <v>0 Days 0 Hrs</v>
      </c>
      <c r="U119" s="11"/>
      <c r="V119" s="11"/>
      <c r="W119" s="11"/>
      <c r="X119" s="12">
        <v>46250</v>
      </c>
      <c r="Y119" s="11" t="s">
        <v>174</v>
      </c>
      <c r="Z119" s="19" t="str">
        <f t="shared" si="19"/>
        <v>Sunday</v>
      </c>
      <c r="AA119" s="11">
        <f t="shared" si="20"/>
        <v>0</v>
      </c>
    </row>
    <row r="120" spans="1:28" ht="14.45" x14ac:dyDescent="0.3">
      <c r="A120" s="11">
        <v>118</v>
      </c>
      <c r="B120" s="11" t="s">
        <v>44</v>
      </c>
      <c r="C120" s="11">
        <v>111035</v>
      </c>
      <c r="D120" s="11" t="str">
        <f>VLOOKUP(B120,[1]Sheet1!$B$1028:$H$1180,7,0)</f>
        <v>Mix</v>
      </c>
      <c r="E120" s="12">
        <v>46250</v>
      </c>
      <c r="F120" s="13">
        <v>0.34583333333333333</v>
      </c>
      <c r="G120" s="11" t="str">
        <f t="shared" si="14"/>
        <v>Sunday</v>
      </c>
      <c r="H120" s="11"/>
      <c r="I120" s="12">
        <v>46250</v>
      </c>
      <c r="J120" s="13">
        <v>0.41180555555555554</v>
      </c>
      <c r="K120" s="11" t="str">
        <f t="shared" si="15"/>
        <v>Sunday</v>
      </c>
      <c r="L120" s="17" t="str">
        <f t="shared" si="21"/>
        <v>0 Days 1 Hrs 35 Mins</v>
      </c>
      <c r="M120" s="12">
        <v>46250</v>
      </c>
      <c r="N120" s="13">
        <v>0.59236111111111112</v>
      </c>
      <c r="O120" s="11" t="s">
        <v>142</v>
      </c>
      <c r="P120" s="11" t="str">
        <f t="shared" si="11"/>
        <v>0 Days 4.3 Hrs</v>
      </c>
      <c r="Q120" s="15">
        <v>46250</v>
      </c>
      <c r="R120" s="13">
        <v>0.59930555555555554</v>
      </c>
      <c r="S120" s="11" t="str">
        <f t="shared" si="18"/>
        <v>Sunday</v>
      </c>
      <c r="T120" s="11" t="str">
        <f t="shared" si="12"/>
        <v>0 Days 0.2 Hrs</v>
      </c>
      <c r="U120" s="11"/>
      <c r="V120" s="11"/>
      <c r="W120" s="11"/>
      <c r="X120" s="12">
        <v>46250</v>
      </c>
      <c r="Y120" s="11" t="s">
        <v>174</v>
      </c>
      <c r="Z120" s="19" t="str">
        <f t="shared" si="19"/>
        <v>Sunday</v>
      </c>
      <c r="AA120" s="11">
        <f t="shared" si="20"/>
        <v>0</v>
      </c>
    </row>
    <row r="121" spans="1:28" ht="14.45" x14ac:dyDescent="0.3">
      <c r="A121" s="11"/>
      <c r="B121" s="11" t="s">
        <v>143</v>
      </c>
      <c r="C121" s="11">
        <v>111037</v>
      </c>
      <c r="D121" s="11" t="str">
        <f>VLOOKUP(B121,[1]Sheet1!$B$1028:$H$1180,7,0)</f>
        <v>R&amp;B</v>
      </c>
      <c r="E121" s="12">
        <v>46250</v>
      </c>
      <c r="F121" s="13">
        <v>0.34930555555555554</v>
      </c>
      <c r="G121" s="11" t="str">
        <f t="shared" si="14"/>
        <v>Sunday</v>
      </c>
      <c r="H121" s="11"/>
      <c r="I121" s="12">
        <v>46250</v>
      </c>
      <c r="J121" s="13">
        <v>0.4284722222222222</v>
      </c>
      <c r="K121" s="11" t="str">
        <f t="shared" si="15"/>
        <v>Sunday</v>
      </c>
      <c r="L121" s="17" t="str">
        <f t="shared" si="21"/>
        <v>0 Days 1 Hrs 54 Mins</v>
      </c>
      <c r="M121" s="12">
        <v>46250</v>
      </c>
      <c r="N121" s="13">
        <v>0.66597222222222219</v>
      </c>
      <c r="O121" s="11" t="s">
        <v>142</v>
      </c>
      <c r="P121" s="11" t="str">
        <f t="shared" si="11"/>
        <v>0 Days 5.7 Hrs</v>
      </c>
      <c r="Q121" s="15">
        <v>46250</v>
      </c>
      <c r="R121" s="13">
        <v>0.69236111111111109</v>
      </c>
      <c r="S121" s="11" t="str">
        <f t="shared" si="18"/>
        <v>Sunday</v>
      </c>
      <c r="T121" s="11" t="str">
        <f t="shared" si="12"/>
        <v>0 Days 0.6 Hrs</v>
      </c>
      <c r="U121" s="11"/>
      <c r="V121" s="11"/>
      <c r="W121" s="11"/>
      <c r="X121" s="12">
        <v>46251</v>
      </c>
      <c r="Y121" s="11" t="s">
        <v>241</v>
      </c>
      <c r="Z121" s="19" t="str">
        <f t="shared" si="19"/>
        <v>Monday</v>
      </c>
      <c r="AA121" s="11">
        <f t="shared" si="20"/>
        <v>1</v>
      </c>
    </row>
    <row r="122" spans="1:28" ht="14.45" x14ac:dyDescent="0.3">
      <c r="A122" s="11"/>
      <c r="B122" s="11" t="s">
        <v>144</v>
      </c>
      <c r="C122" s="11">
        <v>111018</v>
      </c>
      <c r="D122" s="11" t="str">
        <f>VLOOKUP(B122,[1]Sheet1!$B$1028:$H$1180,7,0)</f>
        <v>DP</v>
      </c>
      <c r="E122" s="12">
        <v>46249</v>
      </c>
      <c r="F122" s="13">
        <v>0.73263888888888884</v>
      </c>
      <c r="G122" s="11" t="str">
        <f t="shared" si="14"/>
        <v>Saturday</v>
      </c>
      <c r="H122" s="11" t="s">
        <v>131</v>
      </c>
      <c r="I122" s="12">
        <v>46250</v>
      </c>
      <c r="J122" s="13">
        <v>0.54097222222222219</v>
      </c>
      <c r="K122" s="11" t="str">
        <f t="shared" si="15"/>
        <v>Sunday</v>
      </c>
      <c r="L122" s="17" t="str">
        <f t="shared" si="21"/>
        <v>0 Days 19 Hrs 24 Mins</v>
      </c>
      <c r="M122" s="12">
        <v>46250</v>
      </c>
      <c r="N122" s="13">
        <v>0.72361111111111109</v>
      </c>
      <c r="O122" s="11" t="s">
        <v>142</v>
      </c>
      <c r="P122" s="11" t="str">
        <f t="shared" si="11"/>
        <v>0 Days 4.4 Hrs</v>
      </c>
      <c r="Q122" s="12">
        <v>46251</v>
      </c>
      <c r="R122" s="13">
        <v>0.66805555555555551</v>
      </c>
      <c r="S122" s="11" t="str">
        <f t="shared" si="18"/>
        <v>Monday</v>
      </c>
      <c r="T122" s="11" t="str">
        <f t="shared" si="12"/>
        <v>0 Days 22.7 Hrs</v>
      </c>
      <c r="U122" s="11"/>
      <c r="V122" s="11"/>
      <c r="W122" s="11"/>
      <c r="X122" s="12">
        <v>46251</v>
      </c>
      <c r="Y122" s="11" t="s">
        <v>241</v>
      </c>
      <c r="Z122" s="19" t="str">
        <f t="shared" si="19"/>
        <v>Monday</v>
      </c>
      <c r="AA122" s="11">
        <f t="shared" si="20"/>
        <v>2</v>
      </c>
    </row>
    <row r="123" spans="1:28" ht="14.45" x14ac:dyDescent="0.3">
      <c r="A123" s="11"/>
      <c r="B123" s="11" t="s">
        <v>145</v>
      </c>
      <c r="C123" s="11">
        <v>111050</v>
      </c>
      <c r="D123" s="11" t="str">
        <f>VLOOKUP(B123,[1]Sheet1!$B$1028:$H$1180,7,0)</f>
        <v>OFP</v>
      </c>
      <c r="E123" s="12">
        <v>46250</v>
      </c>
      <c r="F123" s="13">
        <v>0.65902777777777777</v>
      </c>
      <c r="G123" s="11" t="str">
        <f t="shared" si="14"/>
        <v>Sunday</v>
      </c>
      <c r="H123" s="11"/>
      <c r="I123" s="12">
        <v>46250</v>
      </c>
      <c r="J123" s="13">
        <v>0.71875</v>
      </c>
      <c r="K123" s="11" t="str">
        <f t="shared" si="15"/>
        <v>Sunday</v>
      </c>
      <c r="L123" s="17" t="str">
        <f t="shared" si="21"/>
        <v>0 Days 1 Hrs 26 Mins</v>
      </c>
      <c r="M123" s="12">
        <v>46251</v>
      </c>
      <c r="N123" s="13">
        <v>0.44513888888888886</v>
      </c>
      <c r="O123" s="11" t="s">
        <v>142</v>
      </c>
      <c r="P123" s="11" t="str">
        <f t="shared" si="11"/>
        <v>0 Days 17.4 Hrs</v>
      </c>
      <c r="R123" s="18"/>
      <c r="S123" s="18"/>
      <c r="T123" s="11"/>
      <c r="U123" s="11"/>
      <c r="V123" s="11"/>
      <c r="W123" s="11"/>
      <c r="X123" s="11"/>
      <c r="Y123" s="11" t="s">
        <v>241</v>
      </c>
      <c r="Z123" s="19" t="str">
        <f t="shared" si="19"/>
        <v>Saturday</v>
      </c>
      <c r="AA123" s="11"/>
      <c r="AB123" s="3" t="s">
        <v>247</v>
      </c>
    </row>
    <row r="124" spans="1:28" ht="14.45" x14ac:dyDescent="0.3">
      <c r="A124" s="11"/>
      <c r="B124" s="11" t="s">
        <v>146</v>
      </c>
      <c r="C124" s="11">
        <v>111052</v>
      </c>
      <c r="D124" s="11" t="str">
        <f>VLOOKUP(B124,[1]Sheet1!$B$1028:$H$1180,7,0)</f>
        <v>OFP</v>
      </c>
      <c r="E124" s="12">
        <v>46250</v>
      </c>
      <c r="F124" s="13">
        <v>0.6791666666666667</v>
      </c>
      <c r="G124" s="11" t="str">
        <f t="shared" si="14"/>
        <v>Sunday</v>
      </c>
      <c r="H124" s="11"/>
      <c r="I124" s="12">
        <v>46250</v>
      </c>
      <c r="J124" s="13">
        <v>0.7416666666666667</v>
      </c>
      <c r="K124" s="11" t="str">
        <f t="shared" si="15"/>
        <v>Sunday</v>
      </c>
      <c r="L124" s="17" t="str">
        <f t="shared" si="21"/>
        <v>0 Days 1 Hrs 30 Mins</v>
      </c>
      <c r="M124" s="12">
        <v>46251</v>
      </c>
      <c r="N124" s="13">
        <v>0.44236111111111109</v>
      </c>
      <c r="O124" s="11" t="s">
        <v>142</v>
      </c>
      <c r="P124" s="11" t="str">
        <f t="shared" si="11"/>
        <v>0 Days 16.8 Hrs</v>
      </c>
      <c r="Q124" s="18"/>
      <c r="R124" s="18"/>
      <c r="S124" s="18"/>
      <c r="T124" s="11"/>
      <c r="U124" s="11"/>
      <c r="V124" s="11"/>
      <c r="W124" s="11"/>
      <c r="X124" s="11"/>
      <c r="Y124" s="11" t="s">
        <v>241</v>
      </c>
      <c r="Z124" s="19" t="str">
        <f t="shared" si="19"/>
        <v>Saturday</v>
      </c>
      <c r="AA124" s="11"/>
      <c r="AB124" s="3" t="s">
        <v>247</v>
      </c>
    </row>
    <row r="125" spans="1:28" ht="14.45" x14ac:dyDescent="0.3">
      <c r="A125" s="11"/>
      <c r="B125" s="11" t="s">
        <v>154</v>
      </c>
      <c r="C125" s="5">
        <v>111112</v>
      </c>
      <c r="D125" s="5" t="s">
        <v>158</v>
      </c>
      <c r="E125" s="12">
        <v>46251</v>
      </c>
      <c r="F125" s="13" t="s">
        <v>162</v>
      </c>
      <c r="G125" s="5" t="s">
        <v>163</v>
      </c>
      <c r="H125" s="11"/>
      <c r="I125" s="12">
        <v>46251</v>
      </c>
      <c r="J125" s="13" t="s">
        <v>167</v>
      </c>
      <c r="K125" s="11" t="s">
        <v>163</v>
      </c>
      <c r="L125" s="17"/>
      <c r="M125" s="12">
        <v>46251</v>
      </c>
      <c r="N125" s="5" t="s">
        <v>171</v>
      </c>
      <c r="O125" s="5" t="s">
        <v>163</v>
      </c>
      <c r="P125" s="11"/>
      <c r="Q125" s="12">
        <v>46252</v>
      </c>
      <c r="R125" s="5"/>
      <c r="S125" s="5" t="s">
        <v>163</v>
      </c>
      <c r="T125" s="11"/>
      <c r="U125" s="11"/>
      <c r="V125" s="11"/>
      <c r="W125" s="11"/>
      <c r="X125" s="12">
        <v>46251</v>
      </c>
      <c r="Y125" s="11" t="s">
        <v>175</v>
      </c>
      <c r="Z125" s="19" t="str">
        <f t="shared" si="19"/>
        <v>Monday</v>
      </c>
      <c r="AA125" s="11">
        <f t="shared" ref="AA125:AA138" si="22">X125-E125</f>
        <v>0</v>
      </c>
    </row>
    <row r="126" spans="1:28" ht="14.45" x14ac:dyDescent="0.3">
      <c r="A126" s="11"/>
      <c r="B126" s="11" t="s">
        <v>155</v>
      </c>
      <c r="C126" s="5">
        <v>111116</v>
      </c>
      <c r="D126" s="5" t="s">
        <v>159</v>
      </c>
      <c r="E126" s="12">
        <v>46251</v>
      </c>
      <c r="F126" s="13" t="s">
        <v>164</v>
      </c>
      <c r="G126" s="5" t="s">
        <v>163</v>
      </c>
      <c r="H126" s="11"/>
      <c r="I126" s="12">
        <v>46251</v>
      </c>
      <c r="J126" s="13" t="s">
        <v>168</v>
      </c>
      <c r="K126" s="11" t="s">
        <v>163</v>
      </c>
      <c r="L126" s="17"/>
      <c r="M126" s="12">
        <v>46251</v>
      </c>
      <c r="N126" s="5" t="s">
        <v>170</v>
      </c>
      <c r="O126" s="5" t="s">
        <v>163</v>
      </c>
      <c r="P126" s="11"/>
      <c r="Q126" s="12">
        <v>46252</v>
      </c>
      <c r="R126" s="13">
        <v>0.66805555555555551</v>
      </c>
      <c r="S126" s="5" t="s">
        <v>163</v>
      </c>
      <c r="T126" s="11"/>
      <c r="U126" s="11"/>
      <c r="V126" s="11"/>
      <c r="W126" s="11"/>
      <c r="X126" s="12">
        <v>46251</v>
      </c>
      <c r="Y126" s="11" t="s">
        <v>174</v>
      </c>
      <c r="Z126" s="19" t="str">
        <f t="shared" si="19"/>
        <v>Monday</v>
      </c>
      <c r="AA126" s="11">
        <f t="shared" si="22"/>
        <v>0</v>
      </c>
    </row>
    <row r="127" spans="1:28" ht="14.45" x14ac:dyDescent="0.3">
      <c r="A127" s="11"/>
      <c r="B127" s="11" t="s">
        <v>156</v>
      </c>
      <c r="C127" s="5">
        <v>111118</v>
      </c>
      <c r="D127" s="5" t="s">
        <v>160</v>
      </c>
      <c r="E127" s="12">
        <v>46251</v>
      </c>
      <c r="F127" s="13" t="s">
        <v>165</v>
      </c>
      <c r="G127" s="5" t="s">
        <v>163</v>
      </c>
      <c r="H127" s="11" t="s">
        <v>131</v>
      </c>
      <c r="I127" s="12">
        <v>46251</v>
      </c>
      <c r="J127" s="13" t="s">
        <v>169</v>
      </c>
      <c r="K127" s="11" t="s">
        <v>163</v>
      </c>
      <c r="L127" s="17"/>
      <c r="M127" s="12">
        <v>46251</v>
      </c>
      <c r="N127" s="5" t="s">
        <v>172</v>
      </c>
      <c r="O127" s="5" t="s">
        <v>163</v>
      </c>
      <c r="P127" s="11"/>
      <c r="Q127" s="12">
        <v>46251</v>
      </c>
      <c r="R127" s="5"/>
      <c r="S127" s="5" t="s">
        <v>163</v>
      </c>
      <c r="T127" s="11"/>
      <c r="U127" s="12">
        <v>46251</v>
      </c>
      <c r="V127" s="11" t="s">
        <v>241</v>
      </c>
      <c r="W127" s="5" t="s">
        <v>163</v>
      </c>
      <c r="X127" s="12">
        <v>46251</v>
      </c>
      <c r="Y127" s="11" t="s">
        <v>175</v>
      </c>
      <c r="Z127" s="19" t="str">
        <f t="shared" si="19"/>
        <v>Monday</v>
      </c>
      <c r="AA127" s="11">
        <f t="shared" si="22"/>
        <v>0</v>
      </c>
    </row>
    <row r="128" spans="1:28" ht="14.45" x14ac:dyDescent="0.3">
      <c r="A128" s="11"/>
      <c r="B128" s="11" t="s">
        <v>157</v>
      </c>
      <c r="C128" s="5">
        <v>111119</v>
      </c>
      <c r="D128" s="5" t="s">
        <v>161</v>
      </c>
      <c r="E128" s="12">
        <v>46251</v>
      </c>
      <c r="F128" s="13" t="s">
        <v>166</v>
      </c>
      <c r="G128" s="5" t="s">
        <v>163</v>
      </c>
      <c r="H128" s="11" t="s">
        <v>131</v>
      </c>
      <c r="I128" s="12">
        <v>46251</v>
      </c>
      <c r="J128" s="13" t="s">
        <v>170</v>
      </c>
      <c r="K128" s="11" t="s">
        <v>163</v>
      </c>
      <c r="L128" s="17"/>
      <c r="M128" s="12">
        <v>46251</v>
      </c>
      <c r="N128" s="5" t="s">
        <v>173</v>
      </c>
      <c r="O128" s="5" t="s">
        <v>163</v>
      </c>
      <c r="P128" s="11"/>
      <c r="Q128" s="12">
        <v>46251</v>
      </c>
      <c r="R128" s="13">
        <v>0.66805555555555551</v>
      </c>
      <c r="S128" s="5" t="s">
        <v>163</v>
      </c>
      <c r="T128" s="11"/>
      <c r="U128" s="12">
        <v>46251</v>
      </c>
      <c r="V128" s="11" t="s">
        <v>242</v>
      </c>
      <c r="W128" s="5" t="s">
        <v>163</v>
      </c>
      <c r="X128" s="12">
        <v>46252</v>
      </c>
      <c r="Y128" s="13" t="s">
        <v>205</v>
      </c>
      <c r="Z128" s="19" t="str">
        <f t="shared" si="19"/>
        <v>Tuesday</v>
      </c>
      <c r="AA128" s="11">
        <f t="shared" si="22"/>
        <v>1</v>
      </c>
    </row>
    <row r="129" spans="1:28" ht="14.45" x14ac:dyDescent="0.3">
      <c r="A129" s="11"/>
      <c r="B129" s="11" t="s">
        <v>176</v>
      </c>
      <c r="C129" s="5">
        <v>111215</v>
      </c>
      <c r="D129" s="5" t="s">
        <v>158</v>
      </c>
      <c r="E129" s="12">
        <v>46252</v>
      </c>
      <c r="F129" s="13" t="s">
        <v>164</v>
      </c>
      <c r="G129" s="11" t="s">
        <v>183</v>
      </c>
      <c r="H129" s="11"/>
      <c r="I129" s="12">
        <v>46252</v>
      </c>
      <c r="J129" s="13" t="s">
        <v>186</v>
      </c>
      <c r="K129" s="11" t="s">
        <v>183</v>
      </c>
      <c r="L129" s="17"/>
      <c r="M129" s="12">
        <v>46252</v>
      </c>
      <c r="N129" s="5" t="s">
        <v>189</v>
      </c>
      <c r="O129" s="11" t="s">
        <v>183</v>
      </c>
      <c r="P129" s="11"/>
      <c r="Q129" s="12">
        <v>46253</v>
      </c>
      <c r="R129" s="13" t="s">
        <v>171</v>
      </c>
      <c r="S129" s="4" t="s">
        <v>193</v>
      </c>
      <c r="T129" s="11"/>
      <c r="U129" s="11"/>
      <c r="V129" s="11"/>
      <c r="W129" s="11"/>
      <c r="X129" s="12">
        <v>46253</v>
      </c>
      <c r="Y129" s="13" t="s">
        <v>204</v>
      </c>
      <c r="Z129" s="19" t="str">
        <f t="shared" si="19"/>
        <v>Wednesday</v>
      </c>
      <c r="AA129" s="11">
        <f t="shared" si="22"/>
        <v>1</v>
      </c>
    </row>
    <row r="130" spans="1:28" ht="14.45" x14ac:dyDescent="0.3">
      <c r="A130" s="11"/>
      <c r="B130" s="11" t="s">
        <v>177</v>
      </c>
      <c r="C130" s="5">
        <v>111216</v>
      </c>
      <c r="D130" s="5" t="s">
        <v>160</v>
      </c>
      <c r="E130" s="12">
        <v>46252</v>
      </c>
      <c r="F130" s="13" t="s">
        <v>165</v>
      </c>
      <c r="G130" s="11" t="s">
        <v>183</v>
      </c>
      <c r="H130" s="11" t="s">
        <v>131</v>
      </c>
      <c r="I130" s="12">
        <v>46252</v>
      </c>
      <c r="J130" s="13" t="s">
        <v>187</v>
      </c>
      <c r="K130" s="11" t="s">
        <v>183</v>
      </c>
      <c r="L130" s="17"/>
      <c r="M130" s="12">
        <v>46252</v>
      </c>
      <c r="N130" s="5" t="s">
        <v>190</v>
      </c>
      <c r="O130" s="11" t="s">
        <v>183</v>
      </c>
      <c r="P130" s="11"/>
      <c r="Q130" s="12">
        <v>46252</v>
      </c>
      <c r="R130" s="13" t="s">
        <v>172</v>
      </c>
      <c r="S130" s="11" t="s">
        <v>183</v>
      </c>
      <c r="T130" s="11"/>
      <c r="U130" s="12">
        <v>46252</v>
      </c>
      <c r="V130" s="13" t="s">
        <v>243</v>
      </c>
      <c r="W130" s="11" t="s">
        <v>183</v>
      </c>
      <c r="X130" s="12">
        <v>46252</v>
      </c>
      <c r="Y130" s="13" t="s">
        <v>205</v>
      </c>
      <c r="Z130" s="19" t="str">
        <f t="shared" si="19"/>
        <v>Tuesday</v>
      </c>
      <c r="AA130" s="11">
        <f t="shared" si="22"/>
        <v>0</v>
      </c>
    </row>
    <row r="131" spans="1:28" ht="14.45" x14ac:dyDescent="0.3">
      <c r="A131" s="11"/>
      <c r="B131" s="11" t="s">
        <v>178</v>
      </c>
      <c r="C131" s="5">
        <v>111217</v>
      </c>
      <c r="D131" s="5" t="s">
        <v>181</v>
      </c>
      <c r="E131" s="12">
        <v>46252</v>
      </c>
      <c r="F131" s="13" t="s">
        <v>166</v>
      </c>
      <c r="G131" s="11" t="s">
        <v>183</v>
      </c>
      <c r="H131" s="11"/>
      <c r="I131" s="12">
        <v>46252</v>
      </c>
      <c r="J131" s="13" t="s">
        <v>169</v>
      </c>
      <c r="K131" s="11" t="s">
        <v>183</v>
      </c>
      <c r="L131" s="17"/>
      <c r="M131" s="12">
        <v>46252</v>
      </c>
      <c r="N131" s="5" t="s">
        <v>191</v>
      </c>
      <c r="O131" s="11" t="s">
        <v>183</v>
      </c>
      <c r="P131" s="11"/>
      <c r="Q131" s="12">
        <v>46252</v>
      </c>
      <c r="R131" s="13" t="s">
        <v>172</v>
      </c>
      <c r="S131" s="11" t="s">
        <v>183</v>
      </c>
      <c r="T131" s="11"/>
      <c r="U131" s="11"/>
      <c r="V131" s="11"/>
      <c r="W131" s="11"/>
      <c r="X131" s="12">
        <v>46252</v>
      </c>
      <c r="Y131" s="13" t="s">
        <v>205</v>
      </c>
      <c r="Z131" s="19" t="str">
        <f t="shared" si="19"/>
        <v>Tuesday</v>
      </c>
      <c r="AA131" s="11">
        <f t="shared" si="22"/>
        <v>0</v>
      </c>
    </row>
    <row r="132" spans="1:28" ht="14.45" x14ac:dyDescent="0.3">
      <c r="A132" s="11"/>
      <c r="B132" s="11" t="s">
        <v>179</v>
      </c>
      <c r="C132" s="5">
        <v>111218</v>
      </c>
      <c r="D132" s="5" t="s">
        <v>182</v>
      </c>
      <c r="E132" s="12">
        <v>46252</v>
      </c>
      <c r="F132" s="13" t="s">
        <v>184</v>
      </c>
      <c r="G132" s="11" t="s">
        <v>183</v>
      </c>
      <c r="H132" s="11"/>
      <c r="I132" s="12">
        <v>46252</v>
      </c>
      <c r="J132" s="13" t="s">
        <v>188</v>
      </c>
      <c r="K132" s="11" t="s">
        <v>183</v>
      </c>
      <c r="L132" s="17"/>
      <c r="M132" s="12">
        <v>46252</v>
      </c>
      <c r="N132" s="5" t="s">
        <v>191</v>
      </c>
      <c r="O132" s="11" t="s">
        <v>183</v>
      </c>
      <c r="P132" s="11"/>
      <c r="Q132" s="12">
        <v>46252</v>
      </c>
      <c r="R132" s="13" t="s">
        <v>206</v>
      </c>
      <c r="S132" s="11" t="s">
        <v>183</v>
      </c>
      <c r="T132" s="11"/>
      <c r="U132" s="12">
        <v>46252</v>
      </c>
      <c r="V132" s="13" t="s">
        <v>244</v>
      </c>
      <c r="W132" s="11" t="s">
        <v>183</v>
      </c>
      <c r="X132" s="12">
        <v>46253</v>
      </c>
      <c r="Y132" s="13" t="s">
        <v>207</v>
      </c>
      <c r="Z132" s="19" t="str">
        <f t="shared" si="19"/>
        <v>Wednesday</v>
      </c>
      <c r="AA132" s="11">
        <f t="shared" si="22"/>
        <v>1</v>
      </c>
    </row>
    <row r="133" spans="1:28" ht="14.45" x14ac:dyDescent="0.3">
      <c r="A133" s="11"/>
      <c r="B133" s="11" t="s">
        <v>180</v>
      </c>
      <c r="C133" s="5">
        <v>111223</v>
      </c>
      <c r="D133" s="5" t="s">
        <v>159</v>
      </c>
      <c r="E133" s="12">
        <v>46252</v>
      </c>
      <c r="F133" s="13" t="s">
        <v>185</v>
      </c>
      <c r="G133" s="11" t="s">
        <v>183</v>
      </c>
      <c r="H133" s="11"/>
      <c r="I133" s="12">
        <v>46252</v>
      </c>
      <c r="J133" s="13" t="s">
        <v>171</v>
      </c>
      <c r="K133" s="11" t="s">
        <v>183</v>
      </c>
      <c r="L133" s="17"/>
      <c r="M133" s="12">
        <v>46252</v>
      </c>
      <c r="N133" s="5" t="s">
        <v>172</v>
      </c>
      <c r="O133" s="11" t="s">
        <v>183</v>
      </c>
      <c r="P133" s="11"/>
      <c r="Q133" s="12">
        <v>46252</v>
      </c>
      <c r="R133" s="11" t="s">
        <v>208</v>
      </c>
      <c r="S133" s="11" t="s">
        <v>183</v>
      </c>
      <c r="T133" s="11"/>
      <c r="U133" s="11"/>
      <c r="V133" s="11"/>
      <c r="W133" s="11"/>
      <c r="X133" s="12">
        <v>46252</v>
      </c>
      <c r="Y133" s="11" t="s">
        <v>174</v>
      </c>
      <c r="Z133" s="19" t="str">
        <f t="shared" si="19"/>
        <v>Tuesday</v>
      </c>
      <c r="AA133" s="11">
        <f t="shared" si="22"/>
        <v>0</v>
      </c>
    </row>
    <row r="134" spans="1:28" ht="14.45" x14ac:dyDescent="0.3">
      <c r="A134" s="11"/>
      <c r="B134" s="1" t="s">
        <v>195</v>
      </c>
      <c r="C134" s="5">
        <v>111308</v>
      </c>
      <c r="D134" s="5" t="s">
        <v>181</v>
      </c>
      <c r="E134" s="12">
        <v>46253</v>
      </c>
      <c r="F134" s="13" t="s">
        <v>164</v>
      </c>
      <c r="G134" s="4" t="s">
        <v>193</v>
      </c>
      <c r="H134" s="11"/>
      <c r="I134" s="12">
        <v>46253</v>
      </c>
      <c r="J134" s="13" t="s">
        <v>200</v>
      </c>
      <c r="K134" s="11" t="s">
        <v>193</v>
      </c>
      <c r="L134" s="17"/>
      <c r="M134" s="12">
        <v>46253</v>
      </c>
      <c r="N134" s="2" t="s">
        <v>190</v>
      </c>
      <c r="O134" s="4" t="s">
        <v>193</v>
      </c>
      <c r="P134" s="11"/>
      <c r="Q134" s="12">
        <v>46253</v>
      </c>
      <c r="R134" s="2" t="s">
        <v>190</v>
      </c>
      <c r="S134" s="4" t="s">
        <v>193</v>
      </c>
      <c r="T134" s="11"/>
      <c r="U134" s="11"/>
      <c r="V134" s="11"/>
      <c r="W134" s="11"/>
      <c r="X134" s="12">
        <v>46253</v>
      </c>
      <c r="Y134" s="13" t="s">
        <v>207</v>
      </c>
      <c r="Z134" s="19" t="str">
        <f t="shared" si="19"/>
        <v>Wednesday</v>
      </c>
      <c r="AA134" s="11">
        <f t="shared" si="22"/>
        <v>0</v>
      </c>
    </row>
    <row r="135" spans="1:28" ht="14.45" x14ac:dyDescent="0.3">
      <c r="A135" s="11"/>
      <c r="B135" s="1" t="s">
        <v>196</v>
      </c>
      <c r="C135" s="5">
        <v>111310</v>
      </c>
      <c r="D135" s="5" t="s">
        <v>161</v>
      </c>
      <c r="E135" s="12">
        <v>46253</v>
      </c>
      <c r="F135" s="13" t="s">
        <v>165</v>
      </c>
      <c r="G135" s="4" t="s">
        <v>193</v>
      </c>
      <c r="H135" s="11" t="s">
        <v>131</v>
      </c>
      <c r="I135" s="12">
        <v>46253</v>
      </c>
      <c r="J135" s="13" t="s">
        <v>170</v>
      </c>
      <c r="K135" s="11" t="s">
        <v>193</v>
      </c>
      <c r="L135" s="17"/>
      <c r="M135" s="12">
        <v>46253</v>
      </c>
      <c r="N135" s="2" t="s">
        <v>203</v>
      </c>
      <c r="O135" s="2" t="s">
        <v>193</v>
      </c>
      <c r="P135" s="11"/>
      <c r="Q135" s="12">
        <v>46253</v>
      </c>
      <c r="R135" s="2" t="s">
        <v>209</v>
      </c>
      <c r="S135" s="4" t="s">
        <v>193</v>
      </c>
      <c r="T135" s="11"/>
      <c r="U135" s="12">
        <v>46253</v>
      </c>
      <c r="V135" s="2" t="s">
        <v>174</v>
      </c>
      <c r="W135" s="4" t="s">
        <v>193</v>
      </c>
      <c r="X135" s="12">
        <v>46254</v>
      </c>
      <c r="Y135" s="11" t="s">
        <v>212</v>
      </c>
      <c r="Z135" s="19" t="str">
        <f t="shared" si="19"/>
        <v>Thursday</v>
      </c>
      <c r="AA135" s="11">
        <f t="shared" si="22"/>
        <v>1</v>
      </c>
    </row>
    <row r="136" spans="1:28" ht="14.45" x14ac:dyDescent="0.3">
      <c r="A136" s="11"/>
      <c r="B136" s="1" t="s">
        <v>197</v>
      </c>
      <c r="C136" s="5">
        <v>111311</v>
      </c>
      <c r="D136" s="5" t="s">
        <v>159</v>
      </c>
      <c r="E136" s="12">
        <v>46253</v>
      </c>
      <c r="F136" s="13" t="s">
        <v>166</v>
      </c>
      <c r="G136" s="4" t="s">
        <v>193</v>
      </c>
      <c r="H136" s="11"/>
      <c r="I136" s="12">
        <v>46253</v>
      </c>
      <c r="J136" s="13" t="s">
        <v>201</v>
      </c>
      <c r="K136" s="11" t="s">
        <v>193</v>
      </c>
      <c r="L136" s="17"/>
      <c r="M136" s="12">
        <v>46253</v>
      </c>
      <c r="N136" s="2" t="s">
        <v>190</v>
      </c>
      <c r="O136" s="4" t="s">
        <v>193</v>
      </c>
      <c r="P136" s="11"/>
      <c r="Q136" s="12">
        <v>46253</v>
      </c>
      <c r="R136" s="2" t="s">
        <v>210</v>
      </c>
      <c r="S136" s="4" t="s">
        <v>193</v>
      </c>
      <c r="T136" s="11"/>
      <c r="U136" s="11"/>
      <c r="V136" s="11"/>
      <c r="W136" s="11"/>
      <c r="X136" s="12">
        <v>46253</v>
      </c>
      <c r="Y136" s="11" t="s">
        <v>174</v>
      </c>
      <c r="Z136" s="19" t="str">
        <f t="shared" si="19"/>
        <v>Wednesday</v>
      </c>
      <c r="AA136" s="11">
        <f t="shared" si="22"/>
        <v>0</v>
      </c>
    </row>
    <row r="137" spans="1:28" ht="14.45" x14ac:dyDescent="0.3">
      <c r="A137" s="11"/>
      <c r="B137" s="1" t="s">
        <v>198</v>
      </c>
      <c r="C137" s="5">
        <v>111313</v>
      </c>
      <c r="D137" s="5" t="s">
        <v>158</v>
      </c>
      <c r="E137" s="12">
        <v>46253</v>
      </c>
      <c r="F137" s="13" t="s">
        <v>184</v>
      </c>
      <c r="G137" s="4" t="s">
        <v>193</v>
      </c>
      <c r="H137" s="11"/>
      <c r="I137" s="12">
        <v>46253</v>
      </c>
      <c r="J137" s="13" t="s">
        <v>187</v>
      </c>
      <c r="K137" s="11" t="s">
        <v>193</v>
      </c>
      <c r="L137" s="17"/>
      <c r="M137" s="12">
        <v>46253</v>
      </c>
      <c r="N137" s="2" t="s">
        <v>213</v>
      </c>
      <c r="O137" s="4" t="s">
        <v>193</v>
      </c>
      <c r="P137" s="11"/>
      <c r="Q137" s="12">
        <v>46253</v>
      </c>
      <c r="R137" s="2" t="s">
        <v>213</v>
      </c>
      <c r="S137" s="4" t="s">
        <v>193</v>
      </c>
      <c r="T137" s="11"/>
      <c r="U137" s="11"/>
      <c r="V137" s="11"/>
      <c r="W137" s="11"/>
      <c r="X137" s="12">
        <v>46253</v>
      </c>
      <c r="Y137" s="13" t="s">
        <v>207</v>
      </c>
      <c r="Z137" s="19" t="str">
        <f t="shared" si="19"/>
        <v>Wednesday</v>
      </c>
      <c r="AA137" s="11">
        <f t="shared" si="22"/>
        <v>0</v>
      </c>
    </row>
    <row r="138" spans="1:28" ht="14.45" x14ac:dyDescent="0.3">
      <c r="A138" s="11"/>
      <c r="B138" s="1" t="s">
        <v>199</v>
      </c>
      <c r="C138" s="5">
        <v>111314</v>
      </c>
      <c r="D138" s="5" t="s">
        <v>160</v>
      </c>
      <c r="E138" s="12">
        <v>46253</v>
      </c>
      <c r="F138" s="13" t="s">
        <v>184</v>
      </c>
      <c r="G138" s="4" t="s">
        <v>193</v>
      </c>
      <c r="H138" s="11" t="s">
        <v>131</v>
      </c>
      <c r="I138" s="12">
        <v>46253</v>
      </c>
      <c r="J138" s="13" t="s">
        <v>202</v>
      </c>
      <c r="K138" s="11" t="s">
        <v>193</v>
      </c>
      <c r="L138" s="17"/>
      <c r="M138" s="12">
        <v>46253</v>
      </c>
      <c r="N138" s="2" t="s">
        <v>202</v>
      </c>
      <c r="O138" s="4" t="s">
        <v>193</v>
      </c>
      <c r="P138" s="11"/>
      <c r="Q138" s="12">
        <v>46253</v>
      </c>
      <c r="R138" s="2" t="s">
        <v>190</v>
      </c>
      <c r="S138" s="4" t="s">
        <v>193</v>
      </c>
      <c r="T138" s="11"/>
      <c r="U138" s="12">
        <v>46253</v>
      </c>
      <c r="V138" s="2" t="s">
        <v>203</v>
      </c>
      <c r="W138" s="4" t="s">
        <v>193</v>
      </c>
      <c r="X138" s="12">
        <v>46253</v>
      </c>
      <c r="Y138" s="13" t="s">
        <v>207</v>
      </c>
      <c r="Z138" s="19" t="str">
        <f t="shared" si="19"/>
        <v>Wednesday</v>
      </c>
      <c r="AA138" s="11">
        <f t="shared" si="22"/>
        <v>0</v>
      </c>
    </row>
    <row r="139" spans="1:28" ht="14.45" x14ac:dyDescent="0.3">
      <c r="A139" s="11"/>
      <c r="B139" s="2" t="s">
        <v>214</v>
      </c>
      <c r="C139" s="5">
        <v>111326</v>
      </c>
      <c r="D139" s="5" t="s">
        <v>192</v>
      </c>
      <c r="E139" s="12">
        <v>46253</v>
      </c>
      <c r="F139" s="13" t="s">
        <v>171</v>
      </c>
      <c r="G139" s="4" t="s">
        <v>193</v>
      </c>
      <c r="H139" s="11"/>
      <c r="I139" s="12">
        <v>46253</v>
      </c>
      <c r="J139" s="13" t="s">
        <v>217</v>
      </c>
      <c r="K139" s="11" t="s">
        <v>193</v>
      </c>
      <c r="L139" s="17"/>
      <c r="M139" s="12">
        <v>46253</v>
      </c>
      <c r="N139" s="2" t="s">
        <v>206</v>
      </c>
      <c r="O139" s="2" t="s">
        <v>193</v>
      </c>
      <c r="P139" s="11"/>
      <c r="Q139" s="18"/>
      <c r="R139" s="18"/>
      <c r="S139" s="18"/>
      <c r="T139" s="11"/>
      <c r="U139" s="11"/>
      <c r="V139" s="11"/>
      <c r="W139" s="11"/>
      <c r="X139" s="11"/>
      <c r="Z139" s="11"/>
      <c r="AA139" s="11"/>
      <c r="AB139" s="3" t="s">
        <v>247</v>
      </c>
    </row>
    <row r="140" spans="1:28" ht="14.45" x14ac:dyDescent="0.3">
      <c r="A140" s="11"/>
      <c r="B140" s="2" t="s">
        <v>215</v>
      </c>
      <c r="C140" s="5">
        <v>111341</v>
      </c>
      <c r="D140" s="5" t="s">
        <v>192</v>
      </c>
      <c r="E140" s="12">
        <v>46253</v>
      </c>
      <c r="F140" s="13" t="s">
        <v>194</v>
      </c>
      <c r="G140" s="4" t="s">
        <v>193</v>
      </c>
      <c r="H140" s="11"/>
      <c r="I140" s="12">
        <v>46253</v>
      </c>
      <c r="J140" s="13" t="s">
        <v>218</v>
      </c>
      <c r="K140" s="11" t="s">
        <v>193</v>
      </c>
      <c r="L140" s="17"/>
      <c r="M140" s="12">
        <v>46254</v>
      </c>
      <c r="N140" s="2" t="s">
        <v>171</v>
      </c>
      <c r="O140" s="2" t="s">
        <v>211</v>
      </c>
      <c r="P140" s="11"/>
      <c r="Q140" s="18"/>
      <c r="R140" s="18"/>
      <c r="S140" s="18"/>
      <c r="T140" s="11"/>
      <c r="U140" s="11"/>
      <c r="V140" s="11"/>
      <c r="W140" s="11"/>
      <c r="X140" s="11"/>
      <c r="Z140" s="11"/>
      <c r="AA140" s="11"/>
      <c r="AB140" s="3" t="s">
        <v>247</v>
      </c>
    </row>
    <row r="141" spans="1:28" ht="14.45" x14ac:dyDescent="0.3">
      <c r="A141" s="11"/>
      <c r="B141" s="2" t="s">
        <v>216</v>
      </c>
      <c r="C141" s="5">
        <v>111355</v>
      </c>
      <c r="D141" s="5" t="s">
        <v>192</v>
      </c>
      <c r="E141" s="12">
        <v>46253</v>
      </c>
      <c r="F141" s="13" t="s">
        <v>169</v>
      </c>
      <c r="G141" s="4" t="s">
        <v>193</v>
      </c>
      <c r="H141" s="11"/>
      <c r="I141" s="12">
        <v>46253</v>
      </c>
      <c r="J141" s="13" t="s">
        <v>219</v>
      </c>
      <c r="K141" s="11" t="s">
        <v>193</v>
      </c>
      <c r="L141" s="17"/>
      <c r="M141" s="12">
        <v>46253</v>
      </c>
      <c r="N141" s="2" t="s">
        <v>206</v>
      </c>
      <c r="O141" s="2" t="s">
        <v>193</v>
      </c>
      <c r="P141" s="11"/>
      <c r="Q141" s="18"/>
      <c r="R141" s="18"/>
      <c r="S141" s="18"/>
      <c r="T141" s="11"/>
      <c r="U141" s="11"/>
      <c r="V141" s="11"/>
      <c r="W141" s="11"/>
      <c r="X141" s="11"/>
      <c r="Y141" s="11"/>
      <c r="Z141" s="11"/>
      <c r="AA141" s="11"/>
      <c r="AB141" s="3" t="s">
        <v>247</v>
      </c>
    </row>
    <row r="142" spans="1:28" ht="14.45" x14ac:dyDescent="0.3">
      <c r="A142" s="1"/>
      <c r="B142" s="2" t="s">
        <v>232</v>
      </c>
      <c r="C142" s="2">
        <v>111385</v>
      </c>
      <c r="D142" s="2" t="s">
        <v>192</v>
      </c>
      <c r="E142" s="12">
        <v>46253</v>
      </c>
      <c r="F142" s="2" t="s">
        <v>174</v>
      </c>
      <c r="G142" s="2" t="s">
        <v>193</v>
      </c>
      <c r="I142" s="12">
        <v>46253</v>
      </c>
      <c r="J142" s="13" t="s">
        <v>225</v>
      </c>
      <c r="K142" s="11" t="s">
        <v>193</v>
      </c>
      <c r="L142" s="17"/>
      <c r="M142" s="12">
        <v>46254</v>
      </c>
      <c r="N142" s="2" t="s">
        <v>170</v>
      </c>
      <c r="O142" s="2" t="s">
        <v>211</v>
      </c>
      <c r="P142" s="11"/>
      <c r="Q142" s="12">
        <v>46254</v>
      </c>
      <c r="R142" s="2" t="s">
        <v>170</v>
      </c>
      <c r="S142" s="2" t="s">
        <v>211</v>
      </c>
      <c r="T142" s="11"/>
      <c r="X142" s="12">
        <v>46254</v>
      </c>
      <c r="Y142" s="2" t="s">
        <v>217</v>
      </c>
      <c r="Z142" s="5" t="s">
        <v>211</v>
      </c>
      <c r="AA142" s="11">
        <f t="shared" ref="AA142:AA147" si="23">X142-E142</f>
        <v>1</v>
      </c>
    </row>
    <row r="143" spans="1:28" ht="14.45" x14ac:dyDescent="0.3">
      <c r="A143" s="1"/>
      <c r="B143" s="2" t="s">
        <v>233</v>
      </c>
      <c r="C143" s="2">
        <v>111387</v>
      </c>
      <c r="D143" s="2" t="s">
        <v>220</v>
      </c>
      <c r="E143" s="12">
        <v>46253</v>
      </c>
      <c r="F143" s="2" t="s">
        <v>223</v>
      </c>
      <c r="G143" s="2" t="s">
        <v>193</v>
      </c>
      <c r="I143" s="12">
        <v>46254</v>
      </c>
      <c r="J143" s="13" t="s">
        <v>185</v>
      </c>
      <c r="K143" s="11" t="s">
        <v>211</v>
      </c>
      <c r="L143" s="17"/>
      <c r="M143" s="12">
        <v>46254</v>
      </c>
      <c r="N143" s="2" t="s">
        <v>210</v>
      </c>
      <c r="O143" s="2" t="s">
        <v>211</v>
      </c>
      <c r="P143" s="11"/>
      <c r="Q143" s="12">
        <v>46254</v>
      </c>
      <c r="R143" s="2" t="s">
        <v>210</v>
      </c>
      <c r="S143" s="2" t="s">
        <v>211</v>
      </c>
      <c r="T143" s="11"/>
      <c r="X143" s="12">
        <v>46254</v>
      </c>
      <c r="Y143" s="2" t="s">
        <v>217</v>
      </c>
      <c r="Z143" s="1" t="s">
        <v>211</v>
      </c>
      <c r="AA143" s="11">
        <f t="shared" si="23"/>
        <v>1</v>
      </c>
    </row>
    <row r="144" spans="1:28" ht="14.45" x14ac:dyDescent="0.3">
      <c r="A144" s="1"/>
      <c r="B144" s="1" t="s">
        <v>234</v>
      </c>
      <c r="C144" s="2">
        <v>111423</v>
      </c>
      <c r="D144" s="2" t="s">
        <v>159</v>
      </c>
      <c r="E144" s="12">
        <v>46254</v>
      </c>
      <c r="F144" s="2" t="s">
        <v>162</v>
      </c>
      <c r="G144" s="2" t="s">
        <v>211</v>
      </c>
      <c r="I144" s="12">
        <v>46254</v>
      </c>
      <c r="J144" s="13" t="s">
        <v>187</v>
      </c>
      <c r="K144" s="11" t="s">
        <v>211</v>
      </c>
      <c r="L144" s="17"/>
      <c r="M144" s="12">
        <v>46254</v>
      </c>
      <c r="N144" s="2" t="s">
        <v>172</v>
      </c>
      <c r="O144" s="2" t="s">
        <v>211</v>
      </c>
      <c r="P144" s="11"/>
      <c r="Q144" s="12">
        <v>46254</v>
      </c>
      <c r="R144" s="2" t="s">
        <v>172</v>
      </c>
      <c r="S144" s="2" t="s">
        <v>211</v>
      </c>
      <c r="T144" s="11"/>
      <c r="X144" s="12">
        <v>46254</v>
      </c>
      <c r="Y144" s="1" t="s">
        <v>174</v>
      </c>
      <c r="Z144" s="1" t="s">
        <v>211</v>
      </c>
      <c r="AA144" s="11">
        <f t="shared" si="23"/>
        <v>0</v>
      </c>
    </row>
    <row r="145" spans="1:27" ht="14.45" x14ac:dyDescent="0.3">
      <c r="A145" s="1"/>
      <c r="B145" s="1" t="s">
        <v>235</v>
      </c>
      <c r="C145" s="2">
        <v>111426</v>
      </c>
      <c r="D145" s="2" t="s">
        <v>221</v>
      </c>
      <c r="E145" s="12">
        <v>46254</v>
      </c>
      <c r="F145" s="2" t="s">
        <v>164</v>
      </c>
      <c r="G145" s="2" t="s">
        <v>211</v>
      </c>
      <c r="I145" s="12">
        <v>46254</v>
      </c>
      <c r="J145" s="13" t="s">
        <v>226</v>
      </c>
      <c r="K145" s="11" t="s">
        <v>211</v>
      </c>
      <c r="L145" s="17"/>
      <c r="M145" s="12">
        <v>46254</v>
      </c>
      <c r="N145" s="2" t="s">
        <v>191</v>
      </c>
      <c r="O145" s="2" t="s">
        <v>211</v>
      </c>
      <c r="P145" s="11"/>
      <c r="Q145" s="12">
        <v>46254</v>
      </c>
      <c r="R145" s="2" t="s">
        <v>191</v>
      </c>
      <c r="S145" s="2" t="s">
        <v>211</v>
      </c>
      <c r="T145" s="11"/>
      <c r="X145" s="12">
        <v>46254</v>
      </c>
      <c r="Y145" s="2" t="s">
        <v>217</v>
      </c>
      <c r="Z145" s="1" t="s">
        <v>211</v>
      </c>
      <c r="AA145" s="11">
        <f t="shared" si="23"/>
        <v>0</v>
      </c>
    </row>
    <row r="146" spans="1:27" ht="14.45" x14ac:dyDescent="0.3">
      <c r="A146" s="1"/>
      <c r="B146" s="1" t="s">
        <v>236</v>
      </c>
      <c r="C146" s="2">
        <v>111428</v>
      </c>
      <c r="D146" s="2" t="s">
        <v>158</v>
      </c>
      <c r="E146" s="12">
        <v>46254</v>
      </c>
      <c r="F146" s="2" t="s">
        <v>165</v>
      </c>
      <c r="G146" s="2" t="s">
        <v>211</v>
      </c>
      <c r="I146" s="12">
        <v>46254</v>
      </c>
      <c r="J146" s="13" t="s">
        <v>171</v>
      </c>
      <c r="K146" s="11" t="s">
        <v>211</v>
      </c>
      <c r="L146" s="17"/>
      <c r="M146" s="12">
        <v>46254</v>
      </c>
      <c r="N146" s="2" t="s">
        <v>228</v>
      </c>
      <c r="O146" s="2" t="s">
        <v>211</v>
      </c>
      <c r="P146" s="11"/>
      <c r="Q146" s="12">
        <v>46254</v>
      </c>
      <c r="R146" s="2" t="s">
        <v>228</v>
      </c>
      <c r="S146" s="2" t="s">
        <v>211</v>
      </c>
      <c r="T146" s="11"/>
      <c r="U146" s="12"/>
      <c r="V146" s="2"/>
      <c r="W146" s="2"/>
      <c r="X146" s="12">
        <v>46254</v>
      </c>
      <c r="Y146" s="2" t="s">
        <v>217</v>
      </c>
      <c r="Z146" s="1" t="s">
        <v>211</v>
      </c>
      <c r="AA146" s="11">
        <f t="shared" si="23"/>
        <v>0</v>
      </c>
    </row>
    <row r="147" spans="1:27" ht="14.45" x14ac:dyDescent="0.3">
      <c r="A147" s="1"/>
      <c r="B147" s="1" t="s">
        <v>237</v>
      </c>
      <c r="C147" s="2">
        <v>111429</v>
      </c>
      <c r="D147" s="2" t="s">
        <v>160</v>
      </c>
      <c r="E147" s="12">
        <v>46254</v>
      </c>
      <c r="F147" s="2" t="s">
        <v>166</v>
      </c>
      <c r="G147" s="2" t="s">
        <v>211</v>
      </c>
      <c r="H147" s="11" t="s">
        <v>131</v>
      </c>
      <c r="I147" s="12">
        <v>46254</v>
      </c>
      <c r="J147" s="13" t="s">
        <v>227</v>
      </c>
      <c r="K147" s="11" t="s">
        <v>211</v>
      </c>
      <c r="L147" s="17"/>
      <c r="M147" s="12">
        <v>46254</v>
      </c>
      <c r="N147" s="2" t="s">
        <v>229</v>
      </c>
      <c r="O147" s="2" t="s">
        <v>211</v>
      </c>
      <c r="P147" s="11"/>
      <c r="Q147" s="12">
        <v>46254</v>
      </c>
      <c r="R147" s="2" t="s">
        <v>229</v>
      </c>
      <c r="S147" s="2" t="s">
        <v>211</v>
      </c>
      <c r="T147" s="11"/>
      <c r="U147" s="12">
        <v>46254</v>
      </c>
      <c r="V147" s="2" t="s">
        <v>245</v>
      </c>
      <c r="W147" s="2" t="s">
        <v>211</v>
      </c>
      <c r="X147" s="12">
        <v>46254</v>
      </c>
      <c r="Y147" s="2" t="s">
        <v>217</v>
      </c>
      <c r="Z147" s="1" t="s">
        <v>211</v>
      </c>
      <c r="AA147" s="11">
        <f t="shared" si="23"/>
        <v>0</v>
      </c>
    </row>
    <row r="148" spans="1:27" ht="14.45" x14ac:dyDescent="0.3">
      <c r="A148" s="1"/>
      <c r="B148" s="1" t="s">
        <v>238</v>
      </c>
      <c r="C148" s="2">
        <v>111431</v>
      </c>
      <c r="D148" s="2" t="s">
        <v>222</v>
      </c>
      <c r="E148" s="12">
        <v>46254</v>
      </c>
      <c r="F148" s="2" t="s">
        <v>224</v>
      </c>
      <c r="G148" s="2" t="s">
        <v>211</v>
      </c>
      <c r="I148" s="12">
        <v>46254</v>
      </c>
      <c r="J148" s="13" t="s">
        <v>189</v>
      </c>
      <c r="K148" s="11" t="s">
        <v>211</v>
      </c>
      <c r="L148" s="17"/>
      <c r="M148" s="12">
        <v>46254</v>
      </c>
      <c r="N148" s="2" t="s">
        <v>230</v>
      </c>
      <c r="O148" s="2" t="s">
        <v>211</v>
      </c>
      <c r="P148" s="11"/>
      <c r="Q148" s="12">
        <v>46254</v>
      </c>
      <c r="R148" s="2" t="s">
        <v>230</v>
      </c>
      <c r="S148" s="2" t="s">
        <v>211</v>
      </c>
      <c r="T148" s="11"/>
      <c r="X148" s="12"/>
      <c r="AA148" s="11"/>
    </row>
    <row r="149" spans="1:27" ht="14.45" x14ac:dyDescent="0.3">
      <c r="A149" s="1"/>
      <c r="B149" s="1" t="s">
        <v>239</v>
      </c>
      <c r="C149" s="2">
        <v>111432</v>
      </c>
      <c r="D149" s="1" t="s">
        <v>181</v>
      </c>
      <c r="E149" s="12">
        <v>46254</v>
      </c>
      <c r="F149" s="2" t="s">
        <v>184</v>
      </c>
      <c r="G149" s="2" t="s">
        <v>211</v>
      </c>
      <c r="I149" s="12">
        <v>46254</v>
      </c>
      <c r="J149" s="13" t="s">
        <v>172</v>
      </c>
      <c r="K149" s="11" t="s">
        <v>211</v>
      </c>
      <c r="L149" s="17"/>
      <c r="M149" s="12">
        <v>46254</v>
      </c>
      <c r="N149" s="2" t="s">
        <v>231</v>
      </c>
      <c r="O149" s="2" t="s">
        <v>211</v>
      </c>
      <c r="P149" s="11"/>
      <c r="T149" s="11"/>
      <c r="AA149" s="11"/>
    </row>
    <row r="150" spans="1:27" ht="14.45" x14ac:dyDescent="0.3">
      <c r="I150" s="12"/>
      <c r="AA150" s="11"/>
    </row>
    <row r="151" spans="1:27" ht="14.45" x14ac:dyDescent="0.3">
      <c r="I151" s="12"/>
      <c r="AA151" s="11"/>
    </row>
    <row r="152" spans="1:27" ht="14.45" x14ac:dyDescent="0.3">
      <c r="I152" s="12"/>
      <c r="AA152" s="11"/>
    </row>
  </sheetData>
  <mergeCells count="13">
    <mergeCell ref="A1:A2"/>
    <mergeCell ref="C1:C2"/>
    <mergeCell ref="E1:G1"/>
    <mergeCell ref="M2:O2"/>
    <mergeCell ref="Q2:S2"/>
    <mergeCell ref="AB1:AB2"/>
    <mergeCell ref="U1:W2"/>
    <mergeCell ref="X1:Z1"/>
    <mergeCell ref="D1:D2"/>
    <mergeCell ref="B1:B2"/>
    <mergeCell ref="I1:K1"/>
    <mergeCell ref="M1:O1"/>
    <mergeCell ref="Q1:S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Elezabeth Mathew</dc:creator>
  <cp:lastModifiedBy>Paresh Patel</cp:lastModifiedBy>
  <dcterms:created xsi:type="dcterms:W3CDTF">2026-08-18T09:53:08Z</dcterms:created>
  <dcterms:modified xsi:type="dcterms:W3CDTF">2026-08-23T10:56:48Z</dcterms:modified>
</cp:coreProperties>
</file>